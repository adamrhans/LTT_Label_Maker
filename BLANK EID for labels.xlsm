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drawings/drawing4.xml" ContentType="application/vnd.openxmlformats-officedocument.drawing+xml"/>
  <Override PartName="/xl/ctrlProps/ctrlProp310.xml" ContentType="application/vnd.ms-excel.controlproperties+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cbuser1\HANSA$\Desktop\EID Templates\"/>
    </mc:Choice>
  </mc:AlternateContent>
  <xr:revisionPtr revIDLastSave="0" documentId="13_ncr:1_{5287020D-EB22-4EC8-B1DC-C728D3E6AF06}" xr6:coauthVersionLast="47" xr6:coauthVersionMax="47" xr10:uidLastSave="{00000000-0000-0000-0000-000000000000}"/>
  <bookViews>
    <workbookView xWindow="-120" yWindow="-120" windowWidth="29040" windowHeight="15840" xr2:uid="{00000000-000D-0000-FFFF-FFFF00000000}"/>
  </bookViews>
  <sheets>
    <sheet name="Eid List Entry" sheetId="6" r:id="rId1"/>
    <sheet name="Blind List Entry" sheetId="5" r:id="rId2"/>
    <sheet name="EID List" sheetId="1" r:id="rId3"/>
    <sheet name="EID Tags" sheetId="3" state="hidden" r:id="rId4"/>
    <sheet name="Blind List" sheetId="4" r:id="rId5"/>
    <sheet name="Blind Tags" sheetId="9" r:id="rId6"/>
    <sheet name="Merge Data" sheetId="11" r:id="rId7"/>
  </sheets>
  <externalReferences>
    <externalReference r:id="rId8"/>
  </externalReferences>
  <definedNames>
    <definedName name="BlindList">'Blind List Entry'!$B$5:$E$34</definedName>
    <definedName name="Check26" localSheetId="2">'EID List'!$C$6</definedName>
    <definedName name="Data">'Eid List Entry'!$H$5:$H$8</definedName>
    <definedName name="Locked">'EID List'!$AL$4:$AL$5</definedName>
    <definedName name="Lockout_Point">'Eid List Entry'!$C$3:$D$253</definedName>
    <definedName name="Position">'Eid List Entry'!$D$3:$D$257</definedName>
    <definedName name="_xlnm.Print_Area" localSheetId="4">'Blind List'!$A$1:$S$25</definedName>
    <definedName name="_xlnm.Print_Area" localSheetId="5">'Blind Tags'!$A$1:$H$78</definedName>
    <definedName name="_xlnm.Print_Area" localSheetId="2">'EID List'!$B$1:$AF$29</definedName>
    <definedName name="_xlnm.Print_Area" localSheetId="0">'Eid List Entry'!$C$4:$E$23</definedName>
    <definedName name="_xlnm.Print_Area" localSheetId="3">'EID Tags'!$A$1:$K$29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3" i="11" l="1"/>
  <c r="F14" i="11"/>
  <c r="F15" i="11"/>
  <c r="F16" i="11"/>
  <c r="F17" i="11"/>
  <c r="F18" i="11"/>
  <c r="F19" i="11"/>
  <c r="F20" i="11"/>
  <c r="F21" i="11"/>
  <c r="F22" i="11"/>
  <c r="F23" i="11"/>
  <c r="F24" i="11"/>
  <c r="F25" i="11"/>
  <c r="F26" i="11"/>
  <c r="F27" i="11"/>
  <c r="F28" i="11"/>
  <c r="F29" i="11"/>
  <c r="F30" i="11"/>
  <c r="F31" i="11"/>
  <c r="F32" i="11"/>
  <c r="F33" i="11"/>
  <c r="F34" i="11"/>
  <c r="F35" i="11"/>
  <c r="F36" i="11"/>
  <c r="F37" i="11"/>
  <c r="F38" i="11"/>
  <c r="F39" i="11"/>
  <c r="F40" i="11"/>
  <c r="F41" i="11"/>
  <c r="F42" i="11"/>
  <c r="F43" i="11"/>
  <c r="F44" i="11"/>
  <c r="F45" i="11"/>
  <c r="F46" i="11"/>
  <c r="F47" i="11"/>
  <c r="F48" i="11"/>
  <c r="F49" i="11"/>
  <c r="F50" i="11"/>
  <c r="F51" i="11"/>
  <c r="F52" i="11"/>
  <c r="F53" i="11"/>
  <c r="F54" i="11"/>
  <c r="F55" i="11"/>
  <c r="F56" i="11"/>
  <c r="F57" i="11"/>
  <c r="F58" i="11"/>
  <c r="F59" i="11"/>
  <c r="F60" i="11"/>
  <c r="F61" i="11"/>
  <c r="F62" i="11"/>
  <c r="F63" i="11"/>
  <c r="F64" i="11"/>
  <c r="F65" i="11"/>
  <c r="F66" i="11"/>
  <c r="F67" i="11"/>
  <c r="F68" i="11"/>
  <c r="F69" i="11"/>
  <c r="F70" i="11"/>
  <c r="F71" i="11"/>
  <c r="F72" i="11"/>
  <c r="F73" i="11"/>
  <c r="F74" i="11"/>
  <c r="F75" i="11"/>
  <c r="F76" i="11"/>
  <c r="F77" i="11"/>
  <c r="F78" i="11"/>
  <c r="F79" i="11"/>
  <c r="F80" i="11"/>
  <c r="F81" i="11"/>
  <c r="F82" i="11"/>
  <c r="F83" i="11"/>
  <c r="F84" i="11"/>
  <c r="F85" i="11"/>
  <c r="F86" i="11"/>
  <c r="F87" i="11"/>
  <c r="F88" i="11"/>
  <c r="F89" i="11"/>
  <c r="F90" i="11"/>
  <c r="F91" i="11"/>
  <c r="F92" i="11"/>
  <c r="F93" i="11"/>
  <c r="F94" i="11"/>
  <c r="F95" i="11"/>
  <c r="F96" i="11"/>
  <c r="F97" i="11"/>
  <c r="F98" i="11"/>
  <c r="F99" i="11"/>
  <c r="F100" i="11"/>
  <c r="F101" i="11"/>
  <c r="F102" i="11"/>
  <c r="F103" i="11"/>
  <c r="F104" i="11"/>
  <c r="F105" i="11"/>
  <c r="F106" i="11"/>
  <c r="F107" i="11"/>
  <c r="F108" i="11"/>
  <c r="F109" i="11"/>
  <c r="F110" i="11"/>
  <c r="F111" i="11"/>
  <c r="F112" i="11"/>
  <c r="F113" i="11"/>
  <c r="F114" i="11"/>
  <c r="F115" i="11"/>
  <c r="F116" i="11"/>
  <c r="F117" i="11"/>
  <c r="F118" i="11"/>
  <c r="F119" i="11"/>
  <c r="F120" i="11"/>
  <c r="F121" i="11"/>
  <c r="F122" i="11"/>
  <c r="F123" i="11"/>
  <c r="F124" i="11"/>
  <c r="F125" i="11"/>
  <c r="F126" i="11"/>
  <c r="F127" i="11"/>
  <c r="F128" i="11"/>
  <c r="F129" i="11"/>
  <c r="F130" i="11"/>
  <c r="F131" i="11"/>
  <c r="F132" i="11"/>
  <c r="F133" i="11"/>
  <c r="F134" i="11"/>
  <c r="F135" i="11"/>
  <c r="F136" i="11"/>
  <c r="F137" i="11"/>
  <c r="F138" i="11"/>
  <c r="F139" i="11"/>
  <c r="F140" i="11"/>
  <c r="F141" i="11"/>
  <c r="F142" i="11"/>
  <c r="F143" i="11"/>
  <c r="F144" i="11"/>
  <c r="F145" i="11"/>
  <c r="F146" i="11"/>
  <c r="F147" i="11"/>
  <c r="F148" i="11"/>
  <c r="F149" i="11"/>
  <c r="F150" i="11"/>
  <c r="F151" i="11"/>
  <c r="F152" i="11"/>
  <c r="F153" i="11"/>
  <c r="F154" i="11"/>
  <c r="F155" i="11"/>
  <c r="F156" i="11"/>
  <c r="F157" i="11"/>
  <c r="F158" i="11"/>
  <c r="F159" i="11"/>
  <c r="F160" i="11"/>
  <c r="F161" i="11"/>
  <c r="F162" i="11"/>
  <c r="F163" i="11"/>
  <c r="F164" i="11"/>
  <c r="F165" i="11"/>
  <c r="F166" i="11"/>
  <c r="F167" i="11"/>
  <c r="F168" i="11"/>
  <c r="F169" i="11"/>
  <c r="F170" i="11"/>
  <c r="F171" i="11"/>
  <c r="F172" i="11"/>
  <c r="F173" i="11"/>
  <c r="F174" i="11"/>
  <c r="F175" i="11"/>
  <c r="F176" i="11"/>
  <c r="F177" i="11"/>
  <c r="F178" i="11"/>
  <c r="F179" i="11"/>
  <c r="F180" i="11"/>
  <c r="F181" i="11"/>
  <c r="F182" i="11"/>
  <c r="F183" i="11"/>
  <c r="F184" i="11"/>
  <c r="F185" i="11"/>
  <c r="F186" i="11"/>
  <c r="F187" i="11"/>
  <c r="F188" i="11"/>
  <c r="F189" i="11"/>
  <c r="F190" i="11"/>
  <c r="F191" i="11"/>
  <c r="F192" i="11"/>
  <c r="F193" i="11"/>
  <c r="F194" i="11"/>
  <c r="F195" i="11"/>
  <c r="F196" i="11"/>
  <c r="F197" i="11"/>
  <c r="F198" i="11"/>
  <c r="F199" i="11"/>
  <c r="F200" i="11"/>
  <c r="F201" i="11"/>
  <c r="F202" i="11"/>
  <c r="F203" i="11"/>
  <c r="F204" i="11"/>
  <c r="F205" i="11"/>
  <c r="F206" i="11"/>
  <c r="F207" i="11"/>
  <c r="F208" i="11"/>
  <c r="F209" i="11"/>
  <c r="F210" i="11"/>
  <c r="F211" i="11"/>
  <c r="F212" i="11"/>
  <c r="F213" i="11"/>
  <c r="F214" i="11"/>
  <c r="F215" i="11"/>
  <c r="F216" i="11"/>
  <c r="F217" i="11"/>
  <c r="F218" i="11"/>
  <c r="F219" i="11"/>
  <c r="F220" i="11"/>
  <c r="F221" i="11"/>
  <c r="F222" i="11"/>
  <c r="F223" i="11"/>
  <c r="F224" i="11"/>
  <c r="F225" i="11"/>
  <c r="F226" i="11"/>
  <c r="F227" i="11"/>
  <c r="F228" i="11"/>
  <c r="F229" i="11"/>
  <c r="F230" i="11"/>
  <c r="F231" i="11"/>
  <c r="F232" i="11"/>
  <c r="F233" i="11"/>
  <c r="F234" i="11"/>
  <c r="F235" i="11"/>
  <c r="F236" i="11"/>
  <c r="F237" i="11"/>
  <c r="F238" i="11"/>
  <c r="F239" i="11"/>
  <c r="F240" i="11"/>
  <c r="F241" i="11"/>
  <c r="F242" i="11"/>
  <c r="F243" i="11"/>
  <c r="F244" i="11"/>
  <c r="F245" i="11"/>
  <c r="F246" i="11"/>
  <c r="F247" i="11"/>
  <c r="F248" i="11"/>
  <c r="F249" i="11"/>
  <c r="F250" i="11"/>
  <c r="F251" i="11"/>
  <c r="F252" i="11"/>
  <c r="F253" i="11"/>
  <c r="F254" i="11"/>
  <c r="F255" i="11"/>
  <c r="F256" i="11"/>
  <c r="F257" i="11"/>
  <c r="B354" i="1"/>
  <c r="B325" i="1"/>
  <c r="B296" i="1"/>
  <c r="B267" i="1"/>
  <c r="B238" i="1"/>
  <c r="B209" i="1"/>
  <c r="B180" i="1"/>
  <c r="B151" i="1"/>
  <c r="B122" i="1"/>
  <c r="B93" i="1"/>
  <c r="B64" i="1"/>
  <c r="B35" i="1"/>
  <c r="B5" i="1"/>
  <c r="A6" i="5" l="1"/>
  <c r="A7" i="5"/>
  <c r="A8" i="5"/>
  <c r="A9" i="5"/>
  <c r="A10" i="5"/>
  <c r="A11" i="5"/>
  <c r="A12" i="5"/>
  <c r="A13" i="5"/>
  <c r="A14" i="5"/>
  <c r="A15" i="5"/>
  <c r="A16" i="5"/>
  <c r="A17" i="5"/>
  <c r="A18" i="5"/>
  <c r="A19" i="5"/>
  <c r="A20" i="5"/>
  <c r="A21" i="5"/>
  <c r="A22" i="5"/>
  <c r="A23" i="5"/>
  <c r="A24" i="5"/>
  <c r="A25" i="5"/>
  <c r="A26" i="5"/>
  <c r="A27" i="5"/>
  <c r="A28" i="5"/>
  <c r="A29" i="5"/>
  <c r="A30" i="5"/>
  <c r="A31" i="5"/>
  <c r="A32" i="5"/>
  <c r="A33" i="5"/>
  <c r="A34" i="5"/>
  <c r="A5" i="5"/>
  <c r="C155" i="1" l="1"/>
  <c r="C37" i="4" l="1"/>
  <c r="C38" i="4"/>
  <c r="C39" i="4"/>
  <c r="C40" i="4"/>
  <c r="C41" i="4"/>
  <c r="C42" i="4"/>
  <c r="C43" i="4"/>
  <c r="C44" i="4"/>
  <c r="C45" i="4"/>
  <c r="C46" i="4"/>
  <c r="C47" i="4"/>
  <c r="C48" i="4"/>
  <c r="C49" i="4"/>
  <c r="C36" i="4"/>
  <c r="C35" i="4"/>
  <c r="C7" i="4"/>
  <c r="C8" i="4"/>
  <c r="C9" i="4"/>
  <c r="C10" i="4"/>
  <c r="C11" i="4"/>
  <c r="C12" i="4"/>
  <c r="C13" i="4"/>
  <c r="C14" i="4"/>
  <c r="C15" i="4"/>
  <c r="C16" i="4"/>
  <c r="C17" i="4"/>
  <c r="C18" i="4"/>
  <c r="C19" i="4"/>
  <c r="C20" i="4"/>
  <c r="C6" i="4"/>
  <c r="A45" i="4"/>
  <c r="C3" i="4"/>
  <c r="A7" i="4"/>
  <c r="A8" i="4"/>
  <c r="A9" i="4"/>
  <c r="A10" i="4"/>
  <c r="A11" i="4"/>
  <c r="A12" i="4"/>
  <c r="A13" i="4"/>
  <c r="A14" i="4"/>
  <c r="A15" i="4"/>
  <c r="A16" i="4"/>
  <c r="A17" i="4"/>
  <c r="A18" i="4"/>
  <c r="A19" i="4"/>
  <c r="A20" i="4"/>
  <c r="A35" i="4"/>
  <c r="A36" i="4"/>
  <c r="A37" i="4"/>
  <c r="A38" i="4"/>
  <c r="A39" i="4"/>
  <c r="A40" i="4"/>
  <c r="A41" i="4"/>
  <c r="A42" i="4"/>
  <c r="A43" i="4"/>
  <c r="A44" i="4"/>
  <c r="A46" i="4"/>
  <c r="A47" i="4"/>
  <c r="A48" i="4"/>
  <c r="A49" i="4"/>
  <c r="A6" i="4"/>
  <c r="AO59" i="1" l="1"/>
  <c r="H3" i="6" l="1"/>
  <c r="B3" i="11"/>
  <c r="F4" i="11" l="1"/>
  <c r="F8" i="11"/>
  <c r="F12" i="11"/>
  <c r="F5" i="11"/>
  <c r="F9" i="11"/>
  <c r="F6" i="11"/>
  <c r="F10" i="11"/>
  <c r="F7" i="11"/>
  <c r="F11" i="11"/>
  <c r="F2" i="11"/>
  <c r="F3" i="11"/>
  <c r="D2" i="11"/>
  <c r="E2" i="11"/>
  <c r="G2" i="11"/>
  <c r="G3" i="11"/>
  <c r="G4" i="11"/>
  <c r="G5" i="11"/>
  <c r="G6" i="11"/>
  <c r="G7" i="11"/>
  <c r="G8" i="11"/>
  <c r="G9" i="11"/>
  <c r="G10" i="11"/>
  <c r="G11" i="11"/>
  <c r="G12" i="11"/>
  <c r="G13" i="11"/>
  <c r="G14" i="11"/>
  <c r="G15" i="11"/>
  <c r="G16" i="11"/>
  <c r="G17" i="11"/>
  <c r="G18" i="11"/>
  <c r="G19" i="11"/>
  <c r="G20" i="11"/>
  <c r="G21" i="11"/>
  <c r="G22" i="11"/>
  <c r="G23" i="11"/>
  <c r="G24" i="11"/>
  <c r="G25" i="11"/>
  <c r="G26" i="11"/>
  <c r="G27" i="11"/>
  <c r="G28" i="11"/>
  <c r="G29" i="11"/>
  <c r="G30" i="11"/>
  <c r="G31" i="11"/>
  <c r="G32" i="11"/>
  <c r="G33" i="11"/>
  <c r="G34" i="11"/>
  <c r="G35" i="11"/>
  <c r="G36" i="11"/>
  <c r="G37" i="11"/>
  <c r="G38" i="11"/>
  <c r="G39" i="11"/>
  <c r="G40" i="11"/>
  <c r="G41" i="11"/>
  <c r="G42" i="11"/>
  <c r="G43" i="11"/>
  <c r="G44" i="11"/>
  <c r="G45" i="11"/>
  <c r="G46" i="11"/>
  <c r="G47" i="11"/>
  <c r="G48" i="11"/>
  <c r="G49" i="11"/>
  <c r="G50" i="11"/>
  <c r="G51" i="11"/>
  <c r="G52" i="11"/>
  <c r="G53" i="11"/>
  <c r="G54" i="11"/>
  <c r="G55" i="11"/>
  <c r="G56" i="11"/>
  <c r="G57" i="11"/>
  <c r="G58" i="11"/>
  <c r="G59" i="11"/>
  <c r="G60" i="11"/>
  <c r="G61" i="11"/>
  <c r="G62" i="11"/>
  <c r="G63" i="11"/>
  <c r="G64" i="11"/>
  <c r="G65" i="11"/>
  <c r="G66" i="11"/>
  <c r="G67" i="11"/>
  <c r="G68" i="11"/>
  <c r="G69" i="11"/>
  <c r="G70" i="11"/>
  <c r="G71" i="11"/>
  <c r="G72" i="11"/>
  <c r="G73" i="11"/>
  <c r="G74" i="11"/>
  <c r="G75" i="11"/>
  <c r="G76" i="11"/>
  <c r="G77" i="11"/>
  <c r="G78" i="11"/>
  <c r="G79" i="11"/>
  <c r="G80" i="11"/>
  <c r="G81" i="11"/>
  <c r="G82" i="11"/>
  <c r="G83" i="11"/>
  <c r="G84" i="11"/>
  <c r="G85" i="11"/>
  <c r="G86" i="11"/>
  <c r="G87" i="11"/>
  <c r="G88" i="11"/>
  <c r="G89" i="11"/>
  <c r="G90" i="11"/>
  <c r="G91" i="11"/>
  <c r="G92" i="11"/>
  <c r="G93" i="11"/>
  <c r="G94" i="11"/>
  <c r="G95" i="11"/>
  <c r="G96" i="11"/>
  <c r="G97" i="11"/>
  <c r="G98" i="11"/>
  <c r="G99" i="11"/>
  <c r="G100" i="11"/>
  <c r="G101" i="11"/>
  <c r="G102" i="11"/>
  <c r="G103" i="11"/>
  <c r="G104" i="11"/>
  <c r="G105" i="11"/>
  <c r="G106" i="11"/>
  <c r="G107" i="11"/>
  <c r="G108" i="11"/>
  <c r="G109" i="11"/>
  <c r="G110" i="11"/>
  <c r="G111" i="11"/>
  <c r="G112" i="11"/>
  <c r="G113" i="11"/>
  <c r="G114" i="11"/>
  <c r="G115" i="11"/>
  <c r="G116" i="11"/>
  <c r="G117" i="11"/>
  <c r="G118" i="11"/>
  <c r="G119" i="11"/>
  <c r="G120" i="11"/>
  <c r="G121" i="11"/>
  <c r="G122" i="11"/>
  <c r="G123" i="11"/>
  <c r="G124" i="11"/>
  <c r="G125" i="11"/>
  <c r="G126" i="11"/>
  <c r="G127" i="11"/>
  <c r="G128" i="11"/>
  <c r="G129" i="11"/>
  <c r="G130" i="11"/>
  <c r="G131" i="11"/>
  <c r="G132" i="11"/>
  <c r="G133" i="11"/>
  <c r="G134" i="11"/>
  <c r="G135" i="11"/>
  <c r="G136" i="11"/>
  <c r="G137" i="11"/>
  <c r="G138" i="11"/>
  <c r="G139" i="11"/>
  <c r="G140" i="11"/>
  <c r="G141" i="11"/>
  <c r="G142" i="11"/>
  <c r="G143" i="11"/>
  <c r="G144" i="11"/>
  <c r="G145" i="11"/>
  <c r="G146" i="11"/>
  <c r="G147" i="11"/>
  <c r="G148" i="11"/>
  <c r="G149" i="11"/>
  <c r="G150" i="11"/>
  <c r="G151" i="11"/>
  <c r="G152" i="11"/>
  <c r="G153" i="11"/>
  <c r="G154" i="11"/>
  <c r="G155" i="11"/>
  <c r="G156" i="11"/>
  <c r="G157" i="11"/>
  <c r="G158" i="11"/>
  <c r="G159" i="11"/>
  <c r="G160" i="11"/>
  <c r="G161" i="11"/>
  <c r="G162" i="11"/>
  <c r="G163" i="11"/>
  <c r="G164" i="11"/>
  <c r="G165" i="11"/>
  <c r="G166" i="11"/>
  <c r="G167" i="11"/>
  <c r="G168" i="11"/>
  <c r="G169" i="11"/>
  <c r="G170" i="11"/>
  <c r="G171" i="11"/>
  <c r="G172" i="11"/>
  <c r="G173" i="11"/>
  <c r="G174" i="11"/>
  <c r="G175" i="11"/>
  <c r="G176" i="11"/>
  <c r="G177" i="11"/>
  <c r="G178" i="11"/>
  <c r="G179" i="11"/>
  <c r="G180" i="11"/>
  <c r="G181" i="11"/>
  <c r="G182" i="11"/>
  <c r="G183" i="11"/>
  <c r="G184" i="11"/>
  <c r="G185" i="11"/>
  <c r="G186" i="11"/>
  <c r="G187" i="11"/>
  <c r="G188" i="11"/>
  <c r="G189" i="11"/>
  <c r="G190" i="11"/>
  <c r="G191" i="11"/>
  <c r="G192" i="11"/>
  <c r="G193" i="11"/>
  <c r="G194" i="11"/>
  <c r="G195" i="11"/>
  <c r="G196" i="11"/>
  <c r="G197" i="11"/>
  <c r="G198" i="11"/>
  <c r="G199" i="11"/>
  <c r="G200" i="11"/>
  <c r="G201" i="11"/>
  <c r="G202" i="11"/>
  <c r="G203" i="11"/>
  <c r="G204" i="11"/>
  <c r="G205" i="11"/>
  <c r="G206" i="11"/>
  <c r="G207" i="11"/>
  <c r="G208" i="11"/>
  <c r="G209" i="11"/>
  <c r="G210" i="11"/>
  <c r="G211" i="11"/>
  <c r="G212" i="11"/>
  <c r="G213" i="11"/>
  <c r="G214" i="11"/>
  <c r="G215" i="11"/>
  <c r="G216" i="11"/>
  <c r="G217" i="11"/>
  <c r="G218" i="11"/>
  <c r="G219" i="11"/>
  <c r="G220" i="11"/>
  <c r="G221" i="11"/>
  <c r="G222" i="11"/>
  <c r="G223" i="11"/>
  <c r="G224" i="11"/>
  <c r="G225" i="11"/>
  <c r="G226" i="11"/>
  <c r="G227" i="11"/>
  <c r="G228" i="11"/>
  <c r="G229" i="11"/>
  <c r="G230" i="11"/>
  <c r="G231" i="11"/>
  <c r="G232" i="11"/>
  <c r="G233" i="11"/>
  <c r="G234" i="11"/>
  <c r="G235" i="11"/>
  <c r="G236" i="11"/>
  <c r="G237" i="11"/>
  <c r="G238" i="11"/>
  <c r="G239" i="11"/>
  <c r="G240" i="11"/>
  <c r="G241" i="11"/>
  <c r="G242" i="11"/>
  <c r="G243" i="11"/>
  <c r="G244" i="11"/>
  <c r="G245" i="11"/>
  <c r="G246" i="11"/>
  <c r="G247" i="11"/>
  <c r="G248" i="11"/>
  <c r="G249" i="11"/>
  <c r="G250" i="11"/>
  <c r="G251" i="11"/>
  <c r="G252" i="11"/>
  <c r="G253" i="11"/>
  <c r="G254" i="11"/>
  <c r="G255" i="11"/>
  <c r="G256" i="11"/>
  <c r="G257" i="11"/>
  <c r="C10" i="1" l="1"/>
  <c r="C9" i="1"/>
  <c r="D4" i="11" l="1"/>
  <c r="E4" i="11"/>
  <c r="D5" i="11"/>
  <c r="E5" i="11"/>
  <c r="D6" i="11"/>
  <c r="E6" i="11"/>
  <c r="D7" i="11"/>
  <c r="E7" i="11"/>
  <c r="D8" i="11"/>
  <c r="E8" i="11"/>
  <c r="B4" i="6"/>
  <c r="B10" i="1" s="1"/>
  <c r="B5" i="6"/>
  <c r="B11" i="1" s="1"/>
  <c r="B6" i="6"/>
  <c r="B12" i="1" s="1"/>
  <c r="B7" i="6"/>
  <c r="B13" i="1" s="1"/>
  <c r="B8" i="6"/>
  <c r="B14" i="1" s="1"/>
  <c r="B9" i="6"/>
  <c r="B15" i="1" s="1"/>
  <c r="B10" i="6"/>
  <c r="B16" i="1" s="1"/>
  <c r="B11" i="6"/>
  <c r="B17" i="1" s="1"/>
  <c r="B12" i="6"/>
  <c r="B18" i="1" s="1"/>
  <c r="B13" i="6"/>
  <c r="B19" i="1" s="1"/>
  <c r="B14" i="6"/>
  <c r="B39" i="1" s="1"/>
  <c r="B15" i="6"/>
  <c r="B40" i="1" s="1"/>
  <c r="B16" i="6"/>
  <c r="B41" i="1" s="1"/>
  <c r="B17" i="6"/>
  <c r="B42" i="1" s="1"/>
  <c r="B18" i="6"/>
  <c r="B43" i="1" s="1"/>
  <c r="B19" i="6"/>
  <c r="B44" i="1" s="1"/>
  <c r="B20" i="6"/>
  <c r="B45" i="1" s="1"/>
  <c r="B21" i="6"/>
  <c r="B46" i="1" s="1"/>
  <c r="B22" i="6"/>
  <c r="B47" i="1" s="1"/>
  <c r="B23" i="6"/>
  <c r="B48" i="1" s="1"/>
  <c r="B24" i="6"/>
  <c r="B49" i="1" s="1"/>
  <c r="B25" i="6"/>
  <c r="B50" i="1" s="1"/>
  <c r="B26" i="6"/>
  <c r="B51" i="1" s="1"/>
  <c r="B27" i="6"/>
  <c r="B52" i="1" s="1"/>
  <c r="B28" i="6"/>
  <c r="B53" i="1" s="1"/>
  <c r="B29" i="6"/>
  <c r="B54" i="1" s="1"/>
  <c r="B30" i="6"/>
  <c r="B55" i="1" s="1"/>
  <c r="B31" i="6"/>
  <c r="B56" i="1" s="1"/>
  <c r="B32" i="6"/>
  <c r="B57" i="1" s="1"/>
  <c r="B33" i="6"/>
  <c r="B58" i="1" s="1"/>
  <c r="B34" i="6"/>
  <c r="B68" i="1" s="1"/>
  <c r="B35" i="6"/>
  <c r="B69" i="1" s="1"/>
  <c r="B36" i="6"/>
  <c r="B70" i="1" s="1"/>
  <c r="B37" i="6"/>
  <c r="B71" i="1" s="1"/>
  <c r="B38" i="6"/>
  <c r="B72" i="1" s="1"/>
  <c r="B39" i="6"/>
  <c r="B73" i="1" s="1"/>
  <c r="B40" i="6"/>
  <c r="B74" i="1" s="1"/>
  <c r="B41" i="6"/>
  <c r="B75" i="1" s="1"/>
  <c r="B42" i="6"/>
  <c r="B76" i="1" s="1"/>
  <c r="B43" i="6"/>
  <c r="B77" i="1" s="1"/>
  <c r="B44" i="6"/>
  <c r="B78" i="1" s="1"/>
  <c r="B45" i="6"/>
  <c r="B79" i="1" s="1"/>
  <c r="B46" i="6"/>
  <c r="B80" i="1" s="1"/>
  <c r="B47" i="6"/>
  <c r="B81" i="1" s="1"/>
  <c r="B48" i="6"/>
  <c r="B82" i="1" s="1"/>
  <c r="B49" i="6"/>
  <c r="B83" i="1" s="1"/>
  <c r="B50" i="6"/>
  <c r="B84" i="1" s="1"/>
  <c r="B51" i="6"/>
  <c r="B85" i="1" s="1"/>
  <c r="B52" i="6"/>
  <c r="B86" i="1" s="1"/>
  <c r="B53" i="6"/>
  <c r="B87" i="1" s="1"/>
  <c r="B54" i="6"/>
  <c r="B97" i="1" s="1"/>
  <c r="B55" i="6"/>
  <c r="B98" i="1" s="1"/>
  <c r="B56" i="6"/>
  <c r="B99" i="1" s="1"/>
  <c r="B57" i="6"/>
  <c r="B100" i="1" s="1"/>
  <c r="B58" i="6"/>
  <c r="B101" i="1" s="1"/>
  <c r="B59" i="6"/>
  <c r="B102" i="1" s="1"/>
  <c r="B60" i="6"/>
  <c r="B103" i="1" s="1"/>
  <c r="B61" i="6"/>
  <c r="B104" i="1" s="1"/>
  <c r="B62" i="6"/>
  <c r="B105" i="1" s="1"/>
  <c r="B63" i="6"/>
  <c r="B106" i="1" s="1"/>
  <c r="B64" i="6"/>
  <c r="B107" i="1" s="1"/>
  <c r="B65" i="6"/>
  <c r="B108" i="1" s="1"/>
  <c r="B66" i="6"/>
  <c r="B109" i="1" s="1"/>
  <c r="B67" i="6"/>
  <c r="B110" i="1" s="1"/>
  <c r="B68" i="6"/>
  <c r="B111" i="1" s="1"/>
  <c r="B69" i="6"/>
  <c r="B112" i="1" s="1"/>
  <c r="B70" i="6"/>
  <c r="B113" i="1" s="1"/>
  <c r="B71" i="6"/>
  <c r="B114" i="1" s="1"/>
  <c r="B72" i="6"/>
  <c r="B115" i="1" s="1"/>
  <c r="B73" i="6"/>
  <c r="B116" i="1" s="1"/>
  <c r="B74" i="6"/>
  <c r="B126" i="1" s="1"/>
  <c r="B75" i="6"/>
  <c r="B127" i="1" s="1"/>
  <c r="B76" i="6"/>
  <c r="B128" i="1" s="1"/>
  <c r="B77" i="6"/>
  <c r="B129" i="1" s="1"/>
  <c r="B78" i="6"/>
  <c r="B130" i="1" s="1"/>
  <c r="B79" i="6"/>
  <c r="B131" i="1" s="1"/>
  <c r="B80" i="6"/>
  <c r="B132" i="1" s="1"/>
  <c r="B81" i="6"/>
  <c r="B133" i="1" s="1"/>
  <c r="B82" i="6"/>
  <c r="B134" i="1" s="1"/>
  <c r="B83" i="6"/>
  <c r="B135" i="1" s="1"/>
  <c r="B84" i="6"/>
  <c r="B136" i="1" s="1"/>
  <c r="B85" i="6"/>
  <c r="B137" i="1" s="1"/>
  <c r="B86" i="6"/>
  <c r="B138" i="1" s="1"/>
  <c r="B87" i="6"/>
  <c r="B139" i="1" s="1"/>
  <c r="B88" i="6"/>
  <c r="B140" i="1" s="1"/>
  <c r="B89" i="6"/>
  <c r="B141" i="1" s="1"/>
  <c r="B90" i="6"/>
  <c r="B142" i="1" s="1"/>
  <c r="B91" i="6"/>
  <c r="B143" i="1" s="1"/>
  <c r="B92" i="6"/>
  <c r="B144" i="1" s="1"/>
  <c r="B93" i="6"/>
  <c r="B145" i="1" s="1"/>
  <c r="B94" i="6"/>
  <c r="B95" i="6"/>
  <c r="B156" i="1" s="1"/>
  <c r="B96" i="6"/>
  <c r="B157" i="1" s="1"/>
  <c r="B97" i="6"/>
  <c r="B158" i="1" s="1"/>
  <c r="B98" i="6"/>
  <c r="B159" i="1" s="1"/>
  <c r="B99" i="6"/>
  <c r="B160" i="1" s="1"/>
  <c r="B100" i="6"/>
  <c r="B161" i="1" s="1"/>
  <c r="B101" i="6"/>
  <c r="B162" i="1" s="1"/>
  <c r="B102" i="6"/>
  <c r="B163" i="1" s="1"/>
  <c r="B103" i="6"/>
  <c r="B164" i="1" s="1"/>
  <c r="B104" i="6"/>
  <c r="B165" i="1" s="1"/>
  <c r="B105" i="6"/>
  <c r="B166" i="1" s="1"/>
  <c r="B106" i="6"/>
  <c r="B167" i="1" s="1"/>
  <c r="B107" i="6"/>
  <c r="B168" i="1" s="1"/>
  <c r="B108" i="6"/>
  <c r="B169" i="1" s="1"/>
  <c r="B109" i="6"/>
  <c r="B170" i="1" s="1"/>
  <c r="B110" i="6"/>
  <c r="B171" i="1" s="1"/>
  <c r="B111" i="6"/>
  <c r="B172" i="1" s="1"/>
  <c r="B112" i="6"/>
  <c r="B173" i="1" s="1"/>
  <c r="B113" i="6"/>
  <c r="B174" i="1" s="1"/>
  <c r="B114" i="6"/>
  <c r="B184" i="1" s="1"/>
  <c r="B115" i="6"/>
  <c r="B185" i="1" s="1"/>
  <c r="B116" i="6"/>
  <c r="B186" i="1" s="1"/>
  <c r="B117" i="6"/>
  <c r="B187" i="1" s="1"/>
  <c r="B118" i="6"/>
  <c r="B188" i="1" s="1"/>
  <c r="B119" i="6"/>
  <c r="B189" i="1" s="1"/>
  <c r="B120" i="6"/>
  <c r="B190" i="1" s="1"/>
  <c r="B121" i="6"/>
  <c r="B191" i="1" s="1"/>
  <c r="B122" i="6"/>
  <c r="B192" i="1" s="1"/>
  <c r="B123" i="6"/>
  <c r="B193" i="1" s="1"/>
  <c r="B124" i="6"/>
  <c r="B194" i="1" s="1"/>
  <c r="B125" i="6"/>
  <c r="B195" i="1" s="1"/>
  <c r="B126" i="6"/>
  <c r="B196" i="1" s="1"/>
  <c r="B127" i="6"/>
  <c r="B197" i="1" s="1"/>
  <c r="B128" i="6"/>
  <c r="B198" i="1" s="1"/>
  <c r="B129" i="6"/>
  <c r="B199" i="1" s="1"/>
  <c r="B130" i="6"/>
  <c r="B200" i="1" s="1"/>
  <c r="B131" i="6"/>
  <c r="B201" i="1" s="1"/>
  <c r="B132" i="6"/>
  <c r="B202" i="1" s="1"/>
  <c r="B133" i="6"/>
  <c r="B203" i="1" s="1"/>
  <c r="B134" i="6"/>
  <c r="B213" i="1" s="1"/>
  <c r="B135" i="6"/>
  <c r="B214" i="1" s="1"/>
  <c r="B136" i="6"/>
  <c r="B215" i="1" s="1"/>
  <c r="B137" i="6"/>
  <c r="B216" i="1" s="1"/>
  <c r="B138" i="6"/>
  <c r="B217" i="1" s="1"/>
  <c r="B139" i="6"/>
  <c r="B218" i="1" s="1"/>
  <c r="B140" i="6"/>
  <c r="B219" i="1" s="1"/>
  <c r="B141" i="6"/>
  <c r="B220" i="1" s="1"/>
  <c r="B142" i="6"/>
  <c r="B221" i="1" s="1"/>
  <c r="B143" i="6"/>
  <c r="B222" i="1" s="1"/>
  <c r="B144" i="6"/>
  <c r="B223" i="1" s="1"/>
  <c r="B145" i="6"/>
  <c r="B224" i="1" s="1"/>
  <c r="B146" i="6"/>
  <c r="B225" i="1" s="1"/>
  <c r="B147" i="6"/>
  <c r="B226" i="1" s="1"/>
  <c r="B148" i="6"/>
  <c r="B227" i="1" s="1"/>
  <c r="B149" i="6"/>
  <c r="B228" i="1" s="1"/>
  <c r="B150" i="6"/>
  <c r="B229" i="1" s="1"/>
  <c r="B151" i="6"/>
  <c r="B230" i="1" s="1"/>
  <c r="B152" i="6"/>
  <c r="B231" i="1" s="1"/>
  <c r="B153" i="6"/>
  <c r="B232" i="1" s="1"/>
  <c r="B154" i="6"/>
  <c r="B242" i="1" s="1"/>
  <c r="B155" i="6"/>
  <c r="B243" i="1" s="1"/>
  <c r="B156" i="6"/>
  <c r="B244" i="1" s="1"/>
  <c r="B157" i="6"/>
  <c r="B245" i="1" s="1"/>
  <c r="B158" i="6"/>
  <c r="B246" i="1" s="1"/>
  <c r="B159" i="6"/>
  <c r="B247" i="1" s="1"/>
  <c r="B160" i="6"/>
  <c r="B248" i="1" s="1"/>
  <c r="B161" i="6"/>
  <c r="B249" i="1" s="1"/>
  <c r="B162" i="6"/>
  <c r="B250" i="1" s="1"/>
  <c r="B163" i="6"/>
  <c r="B251" i="1" s="1"/>
  <c r="B164" i="6"/>
  <c r="B252" i="1" s="1"/>
  <c r="B165" i="6"/>
  <c r="B253" i="1" s="1"/>
  <c r="B166" i="6"/>
  <c r="B254" i="1" s="1"/>
  <c r="B167" i="6"/>
  <c r="B255" i="1" s="1"/>
  <c r="B168" i="6"/>
  <c r="B256" i="1" s="1"/>
  <c r="B169" i="6"/>
  <c r="B257" i="1" s="1"/>
  <c r="B170" i="6"/>
  <c r="B258" i="1" s="1"/>
  <c r="B171" i="6"/>
  <c r="B259" i="1" s="1"/>
  <c r="B172" i="6"/>
  <c r="B260" i="1" s="1"/>
  <c r="B173" i="6"/>
  <c r="B261" i="1" s="1"/>
  <c r="B174" i="6"/>
  <c r="B271" i="1" s="1"/>
  <c r="B175" i="6"/>
  <c r="B272" i="1" s="1"/>
  <c r="B176" i="6"/>
  <c r="B273" i="1" s="1"/>
  <c r="B177" i="6"/>
  <c r="B274" i="1" s="1"/>
  <c r="B178" i="6"/>
  <c r="B275" i="1" s="1"/>
  <c r="B179" i="6"/>
  <c r="B276" i="1" s="1"/>
  <c r="B180" i="6"/>
  <c r="B277" i="1" s="1"/>
  <c r="B181" i="6"/>
  <c r="B278" i="1" s="1"/>
  <c r="B182" i="6"/>
  <c r="B279" i="1" s="1"/>
  <c r="B183" i="6"/>
  <c r="B280" i="1" s="1"/>
  <c r="B184" i="6"/>
  <c r="B281" i="1" s="1"/>
  <c r="B185" i="6"/>
  <c r="B282" i="1" s="1"/>
  <c r="B186" i="6"/>
  <c r="B283" i="1" s="1"/>
  <c r="B187" i="6"/>
  <c r="B284" i="1" s="1"/>
  <c r="B188" i="6"/>
  <c r="B285" i="1" s="1"/>
  <c r="B189" i="6"/>
  <c r="B286" i="1" s="1"/>
  <c r="B190" i="6"/>
  <c r="B287" i="1" s="1"/>
  <c r="B191" i="6"/>
  <c r="B288" i="1" s="1"/>
  <c r="B192" i="6"/>
  <c r="B289" i="1" s="1"/>
  <c r="B193" i="6"/>
  <c r="B290" i="1" s="1"/>
  <c r="B194" i="6"/>
  <c r="B300" i="1" s="1"/>
  <c r="B195" i="6"/>
  <c r="B301" i="1" s="1"/>
  <c r="B196" i="6"/>
  <c r="B302" i="1" s="1"/>
  <c r="B197" i="6"/>
  <c r="B303" i="1" s="1"/>
  <c r="B198" i="6"/>
  <c r="B304" i="1" s="1"/>
  <c r="B199" i="6"/>
  <c r="B305" i="1" s="1"/>
  <c r="B200" i="6"/>
  <c r="B306" i="1" s="1"/>
  <c r="B201" i="6"/>
  <c r="B307" i="1" s="1"/>
  <c r="B202" i="6"/>
  <c r="B308" i="1" s="1"/>
  <c r="B203" i="6"/>
  <c r="B309" i="1" s="1"/>
  <c r="B204" i="6"/>
  <c r="B310" i="1" s="1"/>
  <c r="B205" i="6"/>
  <c r="B311" i="1" s="1"/>
  <c r="B206" i="6"/>
  <c r="B312" i="1" s="1"/>
  <c r="B207" i="6"/>
  <c r="B313" i="1" s="1"/>
  <c r="B208" i="6"/>
  <c r="B314" i="1" s="1"/>
  <c r="B209" i="6"/>
  <c r="B315" i="1" s="1"/>
  <c r="B210" i="6"/>
  <c r="B316" i="1" s="1"/>
  <c r="B211" i="6"/>
  <c r="B317" i="1" s="1"/>
  <c r="B212" i="6"/>
  <c r="B318" i="1" s="1"/>
  <c r="B213" i="6"/>
  <c r="B319" i="1" s="1"/>
  <c r="B214" i="6"/>
  <c r="B329" i="1" s="1"/>
  <c r="B215" i="6"/>
  <c r="B330" i="1" s="1"/>
  <c r="B216" i="6"/>
  <c r="B331" i="1" s="1"/>
  <c r="B217" i="6"/>
  <c r="B332" i="1" s="1"/>
  <c r="B218" i="6"/>
  <c r="B333" i="1" s="1"/>
  <c r="B219" i="6"/>
  <c r="B334" i="1" s="1"/>
  <c r="B220" i="6"/>
  <c r="B335" i="1" s="1"/>
  <c r="B221" i="6"/>
  <c r="B336" i="1" s="1"/>
  <c r="B222" i="6"/>
  <c r="B337" i="1" s="1"/>
  <c r="B223" i="6"/>
  <c r="B338" i="1" s="1"/>
  <c r="B224" i="6"/>
  <c r="B339" i="1" s="1"/>
  <c r="B225" i="6"/>
  <c r="B340" i="1" s="1"/>
  <c r="B226" i="6"/>
  <c r="B341" i="1" s="1"/>
  <c r="B227" i="6"/>
  <c r="B342" i="1" s="1"/>
  <c r="B228" i="6"/>
  <c r="B343" i="1" s="1"/>
  <c r="B229" i="6"/>
  <c r="B344" i="1" s="1"/>
  <c r="B230" i="6"/>
  <c r="B345" i="1" s="1"/>
  <c r="B231" i="6"/>
  <c r="B346" i="1" s="1"/>
  <c r="B232" i="6"/>
  <c r="B347" i="1" s="1"/>
  <c r="B233" i="6"/>
  <c r="B348" i="1" s="1"/>
  <c r="B234" i="6"/>
  <c r="B358" i="1" s="1"/>
  <c r="B235" i="6"/>
  <c r="B359" i="1" s="1"/>
  <c r="B236" i="6"/>
  <c r="B360" i="1" s="1"/>
  <c r="B237" i="6"/>
  <c r="B361" i="1" s="1"/>
  <c r="B238" i="6"/>
  <c r="B362" i="1" s="1"/>
  <c r="B239" i="6"/>
  <c r="B363" i="1" s="1"/>
  <c r="B240" i="6"/>
  <c r="B364" i="1" s="1"/>
  <c r="B241" i="6"/>
  <c r="B365" i="1" s="1"/>
  <c r="B242" i="6"/>
  <c r="B366" i="1" s="1"/>
  <c r="B243" i="6"/>
  <c r="B367" i="1" s="1"/>
  <c r="B244" i="6"/>
  <c r="B368" i="1" s="1"/>
  <c r="B245" i="6"/>
  <c r="B369" i="1" s="1"/>
  <c r="B246" i="6"/>
  <c r="B370" i="1" s="1"/>
  <c r="B247" i="6"/>
  <c r="B371" i="1" s="1"/>
  <c r="B248" i="6"/>
  <c r="B372" i="1" s="1"/>
  <c r="B249" i="6"/>
  <c r="B373" i="1" s="1"/>
  <c r="B250" i="6"/>
  <c r="B374" i="1" s="1"/>
  <c r="B251" i="6"/>
  <c r="B375" i="1" s="1"/>
  <c r="B252" i="6"/>
  <c r="B376" i="1" s="1"/>
  <c r="B253" i="6"/>
  <c r="B377" i="1" s="1"/>
  <c r="B146" i="1" l="1"/>
  <c r="B155" i="1"/>
  <c r="D9" i="11"/>
  <c r="E9" i="11"/>
  <c r="D10" i="11"/>
  <c r="E10" i="11"/>
  <c r="D11" i="11"/>
  <c r="E11" i="11"/>
  <c r="D12" i="11"/>
  <c r="E12" i="11"/>
  <c r="D13" i="11"/>
  <c r="E13" i="11"/>
  <c r="D14" i="11"/>
  <c r="E14" i="11"/>
  <c r="D15" i="11"/>
  <c r="E15" i="11"/>
  <c r="D16" i="11"/>
  <c r="E16" i="11"/>
  <c r="D17" i="11"/>
  <c r="E17" i="11"/>
  <c r="D18" i="11"/>
  <c r="E18" i="11"/>
  <c r="D19" i="11"/>
  <c r="E19" i="11"/>
  <c r="D20" i="11"/>
  <c r="E20" i="11"/>
  <c r="D21" i="11"/>
  <c r="E21" i="11"/>
  <c r="D22" i="11"/>
  <c r="E22" i="11"/>
  <c r="D23" i="11"/>
  <c r="E23" i="11"/>
  <c r="D24" i="11"/>
  <c r="E24" i="11"/>
  <c r="D25" i="11"/>
  <c r="E25" i="11"/>
  <c r="D26" i="11"/>
  <c r="E26" i="11"/>
  <c r="D27" i="11"/>
  <c r="E27" i="11"/>
  <c r="D28" i="11"/>
  <c r="E28" i="11"/>
  <c r="D29" i="11"/>
  <c r="E29" i="11"/>
  <c r="D30" i="11"/>
  <c r="E30" i="11"/>
  <c r="D31" i="11"/>
  <c r="E31" i="11"/>
  <c r="D32" i="11"/>
  <c r="E32" i="11"/>
  <c r="D33" i="11"/>
  <c r="E33" i="11"/>
  <c r="D34" i="11"/>
  <c r="E34" i="11"/>
  <c r="D35" i="11"/>
  <c r="E35" i="11"/>
  <c r="D36" i="11"/>
  <c r="E36" i="11"/>
  <c r="D37" i="11"/>
  <c r="E37" i="11"/>
  <c r="D38" i="11"/>
  <c r="E38" i="11"/>
  <c r="D39" i="11"/>
  <c r="E39" i="11"/>
  <c r="D40" i="11"/>
  <c r="E40" i="11"/>
  <c r="D41" i="11"/>
  <c r="E41" i="11"/>
  <c r="D42" i="11"/>
  <c r="E42" i="11"/>
  <c r="D43" i="11"/>
  <c r="E43" i="11"/>
  <c r="D44" i="11"/>
  <c r="E44" i="11"/>
  <c r="D45" i="11"/>
  <c r="E45" i="11"/>
  <c r="D46" i="11"/>
  <c r="E46" i="11"/>
  <c r="D47" i="11"/>
  <c r="E47" i="11"/>
  <c r="D48" i="11"/>
  <c r="E48" i="11"/>
  <c r="D49" i="11"/>
  <c r="E49" i="11"/>
  <c r="D50" i="11"/>
  <c r="E50" i="11"/>
  <c r="D51" i="11"/>
  <c r="E51" i="11"/>
  <c r="D52" i="11"/>
  <c r="E52" i="11"/>
  <c r="D53" i="11"/>
  <c r="E53" i="11"/>
  <c r="D54" i="11"/>
  <c r="E54" i="11"/>
  <c r="D55" i="11"/>
  <c r="E55" i="11"/>
  <c r="D56" i="11"/>
  <c r="E56" i="11"/>
  <c r="D57" i="11"/>
  <c r="E57" i="11"/>
  <c r="D58" i="11"/>
  <c r="E58" i="11"/>
  <c r="D59" i="11"/>
  <c r="E59" i="11"/>
  <c r="D60" i="11"/>
  <c r="E60" i="11"/>
  <c r="D61" i="11"/>
  <c r="E61" i="11"/>
  <c r="D62" i="11"/>
  <c r="E62" i="11"/>
  <c r="D63" i="11"/>
  <c r="E63" i="11"/>
  <c r="D64" i="11"/>
  <c r="E64" i="11"/>
  <c r="D65" i="11"/>
  <c r="E65" i="11"/>
  <c r="D66" i="11"/>
  <c r="E66" i="11"/>
  <c r="D67" i="11"/>
  <c r="E67" i="11"/>
  <c r="D68" i="11"/>
  <c r="E68" i="11"/>
  <c r="D69" i="11"/>
  <c r="E69" i="11"/>
  <c r="D70" i="11"/>
  <c r="E70" i="11"/>
  <c r="D71" i="11"/>
  <c r="E71" i="11"/>
  <c r="D72" i="11"/>
  <c r="E72" i="11"/>
  <c r="D73" i="11"/>
  <c r="E73" i="11"/>
  <c r="D74" i="11"/>
  <c r="E74" i="11"/>
  <c r="D75" i="11"/>
  <c r="E75" i="11"/>
  <c r="D76" i="11"/>
  <c r="E76" i="11"/>
  <c r="D77" i="11"/>
  <c r="E77" i="11"/>
  <c r="D78" i="11"/>
  <c r="E78" i="11"/>
  <c r="D79" i="11"/>
  <c r="E79" i="11"/>
  <c r="D80" i="11"/>
  <c r="E80" i="11"/>
  <c r="D81" i="11"/>
  <c r="E81" i="11"/>
  <c r="D82" i="11"/>
  <c r="E82" i="11"/>
  <c r="D83" i="11"/>
  <c r="E83" i="11"/>
  <c r="D84" i="11"/>
  <c r="E84" i="11"/>
  <c r="D85" i="11"/>
  <c r="E85" i="11"/>
  <c r="D86" i="11"/>
  <c r="E86" i="11"/>
  <c r="D87" i="11"/>
  <c r="E87" i="11"/>
  <c r="D88" i="11"/>
  <c r="E88" i="11"/>
  <c r="D89" i="11"/>
  <c r="E89" i="11"/>
  <c r="D90" i="11"/>
  <c r="E90" i="11"/>
  <c r="D91" i="11"/>
  <c r="E91" i="11"/>
  <c r="D92" i="11"/>
  <c r="E92" i="11"/>
  <c r="D93" i="11"/>
  <c r="E93" i="11"/>
  <c r="D94" i="11"/>
  <c r="E94" i="11"/>
  <c r="D95" i="11"/>
  <c r="E95" i="11"/>
  <c r="D96" i="11"/>
  <c r="E96" i="11"/>
  <c r="D97" i="11"/>
  <c r="E97" i="11"/>
  <c r="D98" i="11"/>
  <c r="E98" i="11"/>
  <c r="D99" i="11"/>
  <c r="E99" i="11"/>
  <c r="D100" i="11"/>
  <c r="E100" i="11"/>
  <c r="D101" i="11"/>
  <c r="E101" i="11"/>
  <c r="D102" i="11"/>
  <c r="E102" i="11"/>
  <c r="D103" i="11"/>
  <c r="E103" i="11"/>
  <c r="D104" i="11"/>
  <c r="E104" i="11"/>
  <c r="D105" i="11"/>
  <c r="E105" i="11"/>
  <c r="D106" i="11"/>
  <c r="E106" i="11"/>
  <c r="D107" i="11"/>
  <c r="E107" i="11"/>
  <c r="D108" i="11"/>
  <c r="E108" i="11"/>
  <c r="D109" i="11"/>
  <c r="E109" i="11"/>
  <c r="D110" i="11"/>
  <c r="E110" i="11"/>
  <c r="D111" i="11"/>
  <c r="E111" i="11"/>
  <c r="D112" i="11"/>
  <c r="E112" i="11"/>
  <c r="D113" i="11"/>
  <c r="E113" i="11"/>
  <c r="D114" i="11"/>
  <c r="E114" i="11"/>
  <c r="D115" i="11"/>
  <c r="E115" i="11"/>
  <c r="D116" i="11"/>
  <c r="E116" i="11"/>
  <c r="D117" i="11"/>
  <c r="E117" i="11"/>
  <c r="D118" i="11"/>
  <c r="E118" i="11"/>
  <c r="D119" i="11"/>
  <c r="E119" i="11"/>
  <c r="D120" i="11"/>
  <c r="E120" i="11"/>
  <c r="D121" i="11"/>
  <c r="E121" i="11"/>
  <c r="D122" i="11"/>
  <c r="E122" i="11"/>
  <c r="D123" i="11"/>
  <c r="E123" i="11"/>
  <c r="D124" i="11"/>
  <c r="E124" i="11"/>
  <c r="D125" i="11"/>
  <c r="E125" i="11"/>
  <c r="D126" i="11"/>
  <c r="E126" i="11"/>
  <c r="D127" i="11"/>
  <c r="E127" i="11"/>
  <c r="D128" i="11"/>
  <c r="E128" i="11"/>
  <c r="D129" i="11"/>
  <c r="E129" i="11"/>
  <c r="D130" i="11"/>
  <c r="E130" i="11"/>
  <c r="D131" i="11"/>
  <c r="E131" i="11"/>
  <c r="D132" i="11"/>
  <c r="E132" i="11"/>
  <c r="D133" i="11"/>
  <c r="E133" i="11"/>
  <c r="D134" i="11"/>
  <c r="E134" i="11"/>
  <c r="D135" i="11"/>
  <c r="E135" i="11"/>
  <c r="D136" i="11"/>
  <c r="E136" i="11"/>
  <c r="D137" i="11"/>
  <c r="E137" i="11"/>
  <c r="D138" i="11"/>
  <c r="E138" i="11"/>
  <c r="D139" i="11"/>
  <c r="E139" i="11"/>
  <c r="D140" i="11"/>
  <c r="E140" i="11"/>
  <c r="D141" i="11"/>
  <c r="E141" i="11"/>
  <c r="D142" i="11"/>
  <c r="E142" i="11"/>
  <c r="D143" i="11"/>
  <c r="E143" i="11"/>
  <c r="D144" i="11"/>
  <c r="E144" i="11"/>
  <c r="D145" i="11"/>
  <c r="E145" i="11"/>
  <c r="D146" i="11"/>
  <c r="E146" i="11"/>
  <c r="D147" i="11"/>
  <c r="E147" i="11"/>
  <c r="D148" i="11"/>
  <c r="E148" i="11"/>
  <c r="D149" i="11"/>
  <c r="E149" i="11"/>
  <c r="D150" i="11"/>
  <c r="E150" i="11"/>
  <c r="D151" i="11"/>
  <c r="E151" i="11"/>
  <c r="D152" i="11"/>
  <c r="E152" i="11"/>
  <c r="D153" i="11"/>
  <c r="E153" i="11"/>
  <c r="D154" i="11"/>
  <c r="E154" i="11"/>
  <c r="D155" i="11"/>
  <c r="E155" i="11"/>
  <c r="D156" i="11"/>
  <c r="E156" i="11"/>
  <c r="D157" i="11"/>
  <c r="E157" i="11"/>
  <c r="D158" i="11"/>
  <c r="E158" i="11"/>
  <c r="D159" i="11"/>
  <c r="E159" i="11"/>
  <c r="D160" i="11"/>
  <c r="E160" i="11"/>
  <c r="D161" i="11"/>
  <c r="E161" i="11"/>
  <c r="D162" i="11"/>
  <c r="E162" i="11"/>
  <c r="D163" i="11"/>
  <c r="E163" i="11"/>
  <c r="D164" i="11"/>
  <c r="E164" i="11"/>
  <c r="D165" i="11"/>
  <c r="E165" i="11"/>
  <c r="D166" i="11"/>
  <c r="E166" i="11"/>
  <c r="D167" i="11"/>
  <c r="E167" i="11"/>
  <c r="D168" i="11"/>
  <c r="E168" i="11"/>
  <c r="D169" i="11"/>
  <c r="E169" i="11"/>
  <c r="D170" i="11"/>
  <c r="E170" i="11"/>
  <c r="D171" i="11"/>
  <c r="E171" i="11"/>
  <c r="D172" i="11"/>
  <c r="E172" i="11"/>
  <c r="D173" i="11"/>
  <c r="E173" i="11"/>
  <c r="D174" i="11"/>
  <c r="E174" i="11"/>
  <c r="D175" i="11"/>
  <c r="E175" i="11"/>
  <c r="D176" i="11"/>
  <c r="E176" i="11"/>
  <c r="D177" i="11"/>
  <c r="E177" i="11"/>
  <c r="D178" i="11"/>
  <c r="E178" i="11"/>
  <c r="D179" i="11"/>
  <c r="E179" i="11"/>
  <c r="D180" i="11"/>
  <c r="E180" i="11"/>
  <c r="D181" i="11"/>
  <c r="E181" i="11"/>
  <c r="D182" i="11"/>
  <c r="E182" i="11"/>
  <c r="D183" i="11"/>
  <c r="E183" i="11"/>
  <c r="D184" i="11"/>
  <c r="E184" i="11"/>
  <c r="D185" i="11"/>
  <c r="E185" i="11"/>
  <c r="D186" i="11"/>
  <c r="E186" i="11"/>
  <c r="D187" i="11"/>
  <c r="E187" i="11"/>
  <c r="D188" i="11"/>
  <c r="E188" i="11"/>
  <c r="D189" i="11"/>
  <c r="E189" i="11"/>
  <c r="D190" i="11"/>
  <c r="E190" i="11"/>
  <c r="D191" i="11"/>
  <c r="E191" i="11"/>
  <c r="D192" i="11"/>
  <c r="E192" i="11"/>
  <c r="D193" i="11"/>
  <c r="E193" i="11"/>
  <c r="D194" i="11"/>
  <c r="E194" i="11"/>
  <c r="D195" i="11"/>
  <c r="E195" i="11"/>
  <c r="D196" i="11"/>
  <c r="E196" i="11"/>
  <c r="D197" i="11"/>
  <c r="E197" i="11"/>
  <c r="D198" i="11"/>
  <c r="E198" i="11"/>
  <c r="D199" i="11"/>
  <c r="E199" i="11"/>
  <c r="D200" i="11"/>
  <c r="E200" i="11"/>
  <c r="D201" i="11"/>
  <c r="E201" i="11"/>
  <c r="D202" i="11"/>
  <c r="E202" i="11"/>
  <c r="D203" i="11"/>
  <c r="E203" i="11"/>
  <c r="D204" i="11"/>
  <c r="E204" i="11"/>
  <c r="D205" i="11"/>
  <c r="E205" i="11"/>
  <c r="D206" i="11"/>
  <c r="E206" i="11"/>
  <c r="D207" i="11"/>
  <c r="E207" i="11"/>
  <c r="D208" i="11"/>
  <c r="E208" i="11"/>
  <c r="D209" i="11"/>
  <c r="E209" i="11"/>
  <c r="D210" i="11"/>
  <c r="E210" i="11"/>
  <c r="D211" i="11"/>
  <c r="E211" i="11"/>
  <c r="D212" i="11"/>
  <c r="E212" i="11"/>
  <c r="D213" i="11"/>
  <c r="E213" i="11"/>
  <c r="D214" i="11"/>
  <c r="E214" i="11"/>
  <c r="D215" i="11"/>
  <c r="E215" i="11"/>
  <c r="D216" i="11"/>
  <c r="E216" i="11"/>
  <c r="D217" i="11"/>
  <c r="E217" i="11"/>
  <c r="D218" i="11"/>
  <c r="E218" i="11"/>
  <c r="D219" i="11"/>
  <c r="E219" i="11"/>
  <c r="D220" i="11"/>
  <c r="E220" i="11"/>
  <c r="D221" i="11"/>
  <c r="E221" i="11"/>
  <c r="D222" i="11"/>
  <c r="E222" i="11"/>
  <c r="D223" i="11"/>
  <c r="E223" i="11"/>
  <c r="D224" i="11"/>
  <c r="E224" i="11"/>
  <c r="D225" i="11"/>
  <c r="E225" i="11"/>
  <c r="D226" i="11"/>
  <c r="E226" i="11"/>
  <c r="D227" i="11"/>
  <c r="E227" i="11"/>
  <c r="D228" i="11"/>
  <c r="E228" i="11"/>
  <c r="D229" i="11"/>
  <c r="E229" i="11"/>
  <c r="D230" i="11"/>
  <c r="E230" i="11"/>
  <c r="D231" i="11"/>
  <c r="E231" i="11"/>
  <c r="D232" i="11"/>
  <c r="E232" i="11"/>
  <c r="D233" i="11"/>
  <c r="E233" i="11"/>
  <c r="D234" i="11"/>
  <c r="E234" i="11"/>
  <c r="D235" i="11"/>
  <c r="E235" i="11"/>
  <c r="D236" i="11"/>
  <c r="E236" i="11"/>
  <c r="D237" i="11"/>
  <c r="E237" i="11"/>
  <c r="D238" i="11"/>
  <c r="E238" i="11"/>
  <c r="D239" i="11"/>
  <c r="E239" i="11"/>
  <c r="D240" i="11"/>
  <c r="E240" i="11"/>
  <c r="D241" i="11"/>
  <c r="E241" i="11"/>
  <c r="D242" i="11"/>
  <c r="E242" i="11"/>
  <c r="D243" i="11"/>
  <c r="E243" i="11"/>
  <c r="D244" i="11"/>
  <c r="E244" i="11"/>
  <c r="D245" i="11"/>
  <c r="E245" i="11"/>
  <c r="D246" i="11"/>
  <c r="E246" i="11"/>
  <c r="D247" i="11"/>
  <c r="E247" i="11"/>
  <c r="D248" i="11"/>
  <c r="E248" i="11"/>
  <c r="D249" i="11"/>
  <c r="E249" i="11"/>
  <c r="D250" i="11"/>
  <c r="E250" i="11"/>
  <c r="D251" i="11"/>
  <c r="E251" i="11"/>
  <c r="D252" i="11"/>
  <c r="E252" i="11"/>
  <c r="D253" i="11"/>
  <c r="E253" i="11"/>
  <c r="D254" i="11"/>
  <c r="E254" i="11"/>
  <c r="D255" i="11"/>
  <c r="E255" i="11"/>
  <c r="D256" i="11"/>
  <c r="E256" i="11"/>
  <c r="D257" i="11"/>
  <c r="E257" i="11"/>
  <c r="E3" i="11"/>
  <c r="D3" i="11"/>
  <c r="B4" i="11"/>
  <c r="C4" i="11"/>
  <c r="B5" i="11"/>
  <c r="C5" i="11"/>
  <c r="B6" i="11"/>
  <c r="C6" i="11"/>
  <c r="B7" i="11"/>
  <c r="C7" i="11"/>
  <c r="B8" i="11"/>
  <c r="C8" i="11"/>
  <c r="B9" i="11"/>
  <c r="C9" i="11"/>
  <c r="B10" i="11"/>
  <c r="C10" i="11"/>
  <c r="B11" i="11"/>
  <c r="C11" i="11"/>
  <c r="B12" i="11"/>
  <c r="C12" i="11"/>
  <c r="B13" i="11"/>
  <c r="C13" i="11"/>
  <c r="B14" i="11"/>
  <c r="C14" i="11"/>
  <c r="B15" i="11"/>
  <c r="C15" i="11"/>
  <c r="B16" i="11"/>
  <c r="C16" i="11"/>
  <c r="B17" i="11"/>
  <c r="C17" i="11"/>
  <c r="B18" i="11"/>
  <c r="C18" i="11"/>
  <c r="B19" i="11"/>
  <c r="C19" i="11"/>
  <c r="B20" i="11"/>
  <c r="C20" i="11"/>
  <c r="B21" i="11"/>
  <c r="C21" i="11"/>
  <c r="B22" i="11"/>
  <c r="C22" i="11"/>
  <c r="B23" i="11"/>
  <c r="C23" i="11"/>
  <c r="B24" i="11"/>
  <c r="C24" i="11"/>
  <c r="B25" i="11"/>
  <c r="C25" i="11"/>
  <c r="B26" i="11"/>
  <c r="C26" i="11"/>
  <c r="B27" i="11"/>
  <c r="C27" i="11"/>
  <c r="B28" i="11"/>
  <c r="C28" i="11"/>
  <c r="B29" i="11"/>
  <c r="C29" i="11"/>
  <c r="B30" i="11"/>
  <c r="C30" i="11"/>
  <c r="B31" i="11"/>
  <c r="C31" i="11"/>
  <c r="B32" i="11"/>
  <c r="C32" i="11"/>
  <c r="B33" i="11"/>
  <c r="C33" i="11"/>
  <c r="B34" i="11"/>
  <c r="C34" i="11"/>
  <c r="B35" i="11"/>
  <c r="C35" i="11"/>
  <c r="B36" i="11"/>
  <c r="C36" i="11"/>
  <c r="B37" i="11"/>
  <c r="C37" i="11"/>
  <c r="B38" i="11"/>
  <c r="C38" i="11"/>
  <c r="B39" i="11"/>
  <c r="C39" i="11"/>
  <c r="B40" i="11"/>
  <c r="C40" i="11"/>
  <c r="B41" i="11"/>
  <c r="C41" i="11"/>
  <c r="B42" i="11"/>
  <c r="C42" i="11"/>
  <c r="B43" i="11"/>
  <c r="C43" i="11"/>
  <c r="B44" i="11"/>
  <c r="C44" i="11"/>
  <c r="B45" i="11"/>
  <c r="C45" i="11"/>
  <c r="B46" i="11"/>
  <c r="C46" i="11"/>
  <c r="B47" i="11"/>
  <c r="C47" i="11"/>
  <c r="B48" i="11"/>
  <c r="C48" i="11"/>
  <c r="B49" i="11"/>
  <c r="C49" i="11"/>
  <c r="B50" i="11"/>
  <c r="C50" i="11"/>
  <c r="B51" i="11"/>
  <c r="C51" i="11"/>
  <c r="B52" i="11"/>
  <c r="C52" i="11"/>
  <c r="B53" i="11"/>
  <c r="C53" i="11"/>
  <c r="B54" i="11"/>
  <c r="C54" i="11"/>
  <c r="B55" i="11"/>
  <c r="C55" i="11"/>
  <c r="B56" i="11"/>
  <c r="C56" i="11"/>
  <c r="B57" i="11"/>
  <c r="C57" i="11"/>
  <c r="B58" i="11"/>
  <c r="C58" i="11"/>
  <c r="B59" i="11"/>
  <c r="C59" i="11"/>
  <c r="B60" i="11"/>
  <c r="C60" i="11"/>
  <c r="B61" i="11"/>
  <c r="C61" i="11"/>
  <c r="B62" i="11"/>
  <c r="C62" i="11"/>
  <c r="B63" i="11"/>
  <c r="C63" i="11"/>
  <c r="B64" i="11"/>
  <c r="C64" i="11"/>
  <c r="B65" i="11"/>
  <c r="C65" i="11"/>
  <c r="B66" i="11"/>
  <c r="C66" i="11"/>
  <c r="B67" i="11"/>
  <c r="C67" i="11"/>
  <c r="B68" i="11"/>
  <c r="C68" i="11"/>
  <c r="B69" i="11"/>
  <c r="C69" i="11"/>
  <c r="B70" i="11"/>
  <c r="C70" i="11"/>
  <c r="B71" i="11"/>
  <c r="C71" i="11"/>
  <c r="B72" i="11"/>
  <c r="C72" i="11"/>
  <c r="B73" i="11"/>
  <c r="C73" i="11"/>
  <c r="B74" i="11"/>
  <c r="C74" i="11"/>
  <c r="B75" i="11"/>
  <c r="C75" i="11"/>
  <c r="B76" i="11"/>
  <c r="C76" i="11"/>
  <c r="B77" i="11"/>
  <c r="C77" i="11"/>
  <c r="B78" i="11"/>
  <c r="C78" i="11"/>
  <c r="B79" i="11"/>
  <c r="C79" i="11"/>
  <c r="B80" i="11"/>
  <c r="C80" i="11"/>
  <c r="B81" i="11"/>
  <c r="C81" i="11"/>
  <c r="B82" i="11"/>
  <c r="C82" i="11"/>
  <c r="B83" i="11"/>
  <c r="C83" i="11"/>
  <c r="B84" i="11"/>
  <c r="C84" i="11"/>
  <c r="B85" i="11"/>
  <c r="C85" i="11"/>
  <c r="B86" i="11"/>
  <c r="C86" i="11"/>
  <c r="B87" i="11"/>
  <c r="C87" i="11"/>
  <c r="B88" i="11"/>
  <c r="C88" i="11"/>
  <c r="B89" i="11"/>
  <c r="C89" i="11"/>
  <c r="B90" i="11"/>
  <c r="C90" i="11"/>
  <c r="B91" i="11"/>
  <c r="C91" i="11"/>
  <c r="B92" i="11"/>
  <c r="C92" i="11"/>
  <c r="B93" i="11"/>
  <c r="C93" i="11"/>
  <c r="B94" i="11"/>
  <c r="C94" i="11"/>
  <c r="B95" i="11"/>
  <c r="C95" i="11"/>
  <c r="B96" i="11"/>
  <c r="C96" i="11"/>
  <c r="B97" i="11"/>
  <c r="C97" i="11"/>
  <c r="B98" i="11"/>
  <c r="C98" i="11"/>
  <c r="B99" i="11"/>
  <c r="C99" i="11"/>
  <c r="B100" i="11"/>
  <c r="C100" i="11"/>
  <c r="B101" i="11"/>
  <c r="C101" i="11"/>
  <c r="B102" i="11"/>
  <c r="C102" i="11"/>
  <c r="B103" i="11"/>
  <c r="C103" i="11"/>
  <c r="B104" i="11"/>
  <c r="C104" i="11"/>
  <c r="B105" i="11"/>
  <c r="C105" i="11"/>
  <c r="B106" i="11"/>
  <c r="C106" i="11"/>
  <c r="B107" i="11"/>
  <c r="C107" i="11"/>
  <c r="B108" i="11"/>
  <c r="C108" i="11"/>
  <c r="B109" i="11"/>
  <c r="C109" i="11"/>
  <c r="B110" i="11"/>
  <c r="C110" i="11"/>
  <c r="B111" i="11"/>
  <c r="C111" i="11"/>
  <c r="B112" i="11"/>
  <c r="C112" i="11"/>
  <c r="B113" i="11"/>
  <c r="C113" i="11"/>
  <c r="B114" i="11"/>
  <c r="C114" i="11"/>
  <c r="B115" i="11"/>
  <c r="C115" i="11"/>
  <c r="B116" i="11"/>
  <c r="C116" i="11"/>
  <c r="B117" i="11"/>
  <c r="C117" i="11"/>
  <c r="B118" i="11"/>
  <c r="C118" i="11"/>
  <c r="B119" i="11"/>
  <c r="C119" i="11"/>
  <c r="B120" i="11"/>
  <c r="C120" i="11"/>
  <c r="B121" i="11"/>
  <c r="C121" i="11"/>
  <c r="B122" i="11"/>
  <c r="C122" i="11"/>
  <c r="B123" i="11"/>
  <c r="C123" i="11"/>
  <c r="B124" i="11"/>
  <c r="C124" i="11"/>
  <c r="B125" i="11"/>
  <c r="C125" i="11"/>
  <c r="B126" i="11"/>
  <c r="C126" i="11"/>
  <c r="B127" i="11"/>
  <c r="C127" i="11"/>
  <c r="B128" i="11"/>
  <c r="C128" i="11"/>
  <c r="B129" i="11"/>
  <c r="C129" i="11"/>
  <c r="B130" i="11"/>
  <c r="C130" i="11"/>
  <c r="B131" i="11"/>
  <c r="C131" i="11"/>
  <c r="B132" i="11"/>
  <c r="C132" i="11"/>
  <c r="B133" i="11"/>
  <c r="C133" i="11"/>
  <c r="B134" i="11"/>
  <c r="C134" i="11"/>
  <c r="B135" i="11"/>
  <c r="C135" i="11"/>
  <c r="B136" i="11"/>
  <c r="C136" i="11"/>
  <c r="B137" i="11"/>
  <c r="C137" i="11"/>
  <c r="B138" i="11"/>
  <c r="C138" i="11"/>
  <c r="B139" i="11"/>
  <c r="C139" i="11"/>
  <c r="B140" i="11"/>
  <c r="C140" i="11"/>
  <c r="B141" i="11"/>
  <c r="C141" i="11"/>
  <c r="B142" i="11"/>
  <c r="C142" i="11"/>
  <c r="B143" i="11"/>
  <c r="C143" i="11"/>
  <c r="B144" i="11"/>
  <c r="C144" i="11"/>
  <c r="B145" i="11"/>
  <c r="C145" i="11"/>
  <c r="B146" i="11"/>
  <c r="C146" i="11"/>
  <c r="B147" i="11"/>
  <c r="C147" i="11"/>
  <c r="B148" i="11"/>
  <c r="C148" i="11"/>
  <c r="B149" i="11"/>
  <c r="C149" i="11"/>
  <c r="B150" i="11"/>
  <c r="C150" i="11"/>
  <c r="B151" i="11"/>
  <c r="C151" i="11"/>
  <c r="B152" i="11"/>
  <c r="C152" i="11"/>
  <c r="B153" i="11"/>
  <c r="C153" i="11"/>
  <c r="B154" i="11"/>
  <c r="C154" i="11"/>
  <c r="B155" i="11"/>
  <c r="C155" i="11"/>
  <c r="B156" i="11"/>
  <c r="C156" i="11"/>
  <c r="B157" i="11"/>
  <c r="C157" i="11"/>
  <c r="B158" i="11"/>
  <c r="C158" i="11"/>
  <c r="B159" i="11"/>
  <c r="C159" i="11"/>
  <c r="B160" i="11"/>
  <c r="C160" i="11"/>
  <c r="B161" i="11"/>
  <c r="C161" i="11"/>
  <c r="B162" i="11"/>
  <c r="C162" i="11"/>
  <c r="B163" i="11"/>
  <c r="C163" i="11"/>
  <c r="B164" i="11"/>
  <c r="C164" i="11"/>
  <c r="B165" i="11"/>
  <c r="C165" i="11"/>
  <c r="B166" i="11"/>
  <c r="C166" i="11"/>
  <c r="B167" i="11"/>
  <c r="C167" i="11"/>
  <c r="B168" i="11"/>
  <c r="C168" i="11"/>
  <c r="B169" i="11"/>
  <c r="C169" i="11"/>
  <c r="B170" i="11"/>
  <c r="C170" i="11"/>
  <c r="B171" i="11"/>
  <c r="C171" i="11"/>
  <c r="B172" i="11"/>
  <c r="C172" i="11"/>
  <c r="B173" i="11"/>
  <c r="C173" i="11"/>
  <c r="B174" i="11"/>
  <c r="C174" i="11"/>
  <c r="B175" i="11"/>
  <c r="C175" i="11"/>
  <c r="B176" i="11"/>
  <c r="C176" i="11"/>
  <c r="B177" i="11"/>
  <c r="C177" i="11"/>
  <c r="B178" i="11"/>
  <c r="C178" i="11"/>
  <c r="B179" i="11"/>
  <c r="C179" i="11"/>
  <c r="B180" i="11"/>
  <c r="C180" i="11"/>
  <c r="B181" i="11"/>
  <c r="C181" i="11"/>
  <c r="B182" i="11"/>
  <c r="C182" i="11"/>
  <c r="B183" i="11"/>
  <c r="C183" i="11"/>
  <c r="B184" i="11"/>
  <c r="C184" i="11"/>
  <c r="B185" i="11"/>
  <c r="C185" i="11"/>
  <c r="B186" i="11"/>
  <c r="C186" i="11"/>
  <c r="B187" i="11"/>
  <c r="C187" i="11"/>
  <c r="B188" i="11"/>
  <c r="C188" i="11"/>
  <c r="B189" i="11"/>
  <c r="C189" i="11"/>
  <c r="B190" i="11"/>
  <c r="C190" i="11"/>
  <c r="B191" i="11"/>
  <c r="C191" i="11"/>
  <c r="B192" i="11"/>
  <c r="C192" i="11"/>
  <c r="B193" i="11"/>
  <c r="C193" i="11"/>
  <c r="B194" i="11"/>
  <c r="C194" i="11"/>
  <c r="B195" i="11"/>
  <c r="C195" i="11"/>
  <c r="B196" i="11"/>
  <c r="C196" i="11"/>
  <c r="B197" i="11"/>
  <c r="C197" i="11"/>
  <c r="B198" i="11"/>
  <c r="C198" i="11"/>
  <c r="B199" i="11"/>
  <c r="C199" i="11"/>
  <c r="B200" i="11"/>
  <c r="C200" i="11"/>
  <c r="B201" i="11"/>
  <c r="C201" i="11"/>
  <c r="B202" i="11"/>
  <c r="C202" i="11"/>
  <c r="B203" i="11"/>
  <c r="C203" i="11"/>
  <c r="B204" i="11"/>
  <c r="C204" i="11"/>
  <c r="B205" i="11"/>
  <c r="C205" i="11"/>
  <c r="B206" i="11"/>
  <c r="C206" i="11"/>
  <c r="B207" i="11"/>
  <c r="C207" i="11"/>
  <c r="B208" i="11"/>
  <c r="C208" i="11"/>
  <c r="B209" i="11"/>
  <c r="C209" i="11"/>
  <c r="B210" i="11"/>
  <c r="C210" i="11"/>
  <c r="B211" i="11"/>
  <c r="C211" i="11"/>
  <c r="B212" i="11"/>
  <c r="C212" i="11"/>
  <c r="B213" i="11"/>
  <c r="C213" i="11"/>
  <c r="B214" i="11"/>
  <c r="C214" i="11"/>
  <c r="B215" i="11"/>
  <c r="C215" i="11"/>
  <c r="B216" i="11"/>
  <c r="C216" i="11"/>
  <c r="B217" i="11"/>
  <c r="C217" i="11"/>
  <c r="B218" i="11"/>
  <c r="C218" i="11"/>
  <c r="B219" i="11"/>
  <c r="C219" i="11"/>
  <c r="B220" i="11"/>
  <c r="C220" i="11"/>
  <c r="B221" i="11"/>
  <c r="C221" i="11"/>
  <c r="B222" i="11"/>
  <c r="C222" i="11"/>
  <c r="B223" i="11"/>
  <c r="C223" i="11"/>
  <c r="B224" i="11"/>
  <c r="C224" i="11"/>
  <c r="B225" i="11"/>
  <c r="C225" i="11"/>
  <c r="B226" i="11"/>
  <c r="C226" i="11"/>
  <c r="B227" i="11"/>
  <c r="C227" i="11"/>
  <c r="B228" i="11"/>
  <c r="C228" i="11"/>
  <c r="B229" i="11"/>
  <c r="C229" i="11"/>
  <c r="B230" i="11"/>
  <c r="C230" i="11"/>
  <c r="B231" i="11"/>
  <c r="C231" i="11"/>
  <c r="B232" i="11"/>
  <c r="C232" i="11"/>
  <c r="B233" i="11"/>
  <c r="C233" i="11"/>
  <c r="B234" i="11"/>
  <c r="C234" i="11"/>
  <c r="B235" i="11"/>
  <c r="C235" i="11"/>
  <c r="B236" i="11"/>
  <c r="C236" i="11"/>
  <c r="B237" i="11"/>
  <c r="C237" i="11"/>
  <c r="B238" i="11"/>
  <c r="C238" i="11"/>
  <c r="B239" i="11"/>
  <c r="C239" i="11"/>
  <c r="B240" i="11"/>
  <c r="C240" i="11"/>
  <c r="B241" i="11"/>
  <c r="C241" i="11"/>
  <c r="B242" i="11"/>
  <c r="C242" i="11"/>
  <c r="B243" i="11"/>
  <c r="C243" i="11"/>
  <c r="B244" i="11"/>
  <c r="C244" i="11"/>
  <c r="B245" i="11"/>
  <c r="C245" i="11"/>
  <c r="B246" i="11"/>
  <c r="C246" i="11"/>
  <c r="B247" i="11"/>
  <c r="C247" i="11"/>
  <c r="B248" i="11"/>
  <c r="C248" i="11"/>
  <c r="B249" i="11"/>
  <c r="C249" i="11"/>
  <c r="B250" i="11"/>
  <c r="C250" i="11"/>
  <c r="B251" i="11"/>
  <c r="C251" i="11"/>
  <c r="B252" i="11"/>
  <c r="C252" i="11"/>
  <c r="B253" i="11"/>
  <c r="C253" i="11"/>
  <c r="B254" i="11"/>
  <c r="C254" i="11"/>
  <c r="B255" i="11"/>
  <c r="C255" i="11"/>
  <c r="B256" i="11"/>
  <c r="C256" i="11"/>
  <c r="B257" i="11"/>
  <c r="C257" i="11"/>
  <c r="C3" i="11"/>
  <c r="A4" i="11"/>
  <c r="A5" i="11"/>
  <c r="A6" i="11"/>
  <c r="A7" i="11"/>
  <c r="A8" i="11"/>
  <c r="A9" i="11"/>
  <c r="A10" i="11"/>
  <c r="A11" i="11"/>
  <c r="A12" i="11"/>
  <c r="A13" i="11"/>
  <c r="A14" i="11"/>
  <c r="A16" i="11" l="1"/>
  <c r="A17" i="11"/>
  <c r="A18" i="11"/>
  <c r="A19" i="11"/>
  <c r="A20" i="11"/>
  <c r="A21" i="11"/>
  <c r="A22" i="11"/>
  <c r="A23" i="11"/>
  <c r="A24" i="11"/>
  <c r="A25" i="11"/>
  <c r="A26" i="11"/>
  <c r="A27" i="11"/>
  <c r="A28" i="1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B3" i="6"/>
  <c r="A15" i="11"/>
  <c r="A3" i="11" l="1"/>
  <c r="B9" i="1"/>
  <c r="H47" i="3"/>
  <c r="F2" i="6" l="1"/>
  <c r="Z359" i="1" l="1"/>
  <c r="Z360" i="1"/>
  <c r="Z361" i="1"/>
  <c r="Z362" i="1"/>
  <c r="Z363" i="1"/>
  <c r="Z364" i="1"/>
  <c r="Z365" i="1"/>
  <c r="Z366" i="1"/>
  <c r="Z367" i="1"/>
  <c r="Z368" i="1"/>
  <c r="Z369" i="1"/>
  <c r="Z370" i="1"/>
  <c r="Z371" i="1"/>
  <c r="Z372" i="1"/>
  <c r="Z373" i="1"/>
  <c r="Z374" i="1"/>
  <c r="Z375" i="1"/>
  <c r="Z376" i="1"/>
  <c r="Z377" i="1"/>
  <c r="Y359" i="1"/>
  <c r="Y360" i="1"/>
  <c r="Y361" i="1"/>
  <c r="Y362" i="1"/>
  <c r="Y363" i="1"/>
  <c r="Y364" i="1"/>
  <c r="Y365" i="1"/>
  <c r="Y366" i="1"/>
  <c r="Y367" i="1"/>
  <c r="Y368" i="1"/>
  <c r="Y369" i="1"/>
  <c r="Y370" i="1"/>
  <c r="Y371" i="1"/>
  <c r="Y372" i="1"/>
  <c r="Y373" i="1"/>
  <c r="Y374" i="1"/>
  <c r="Y375" i="1"/>
  <c r="Y376" i="1"/>
  <c r="Y377" i="1"/>
  <c r="C359" i="1"/>
  <c r="C360" i="1"/>
  <c r="C361" i="1"/>
  <c r="C362" i="1"/>
  <c r="C363" i="1"/>
  <c r="C364" i="1"/>
  <c r="C365" i="1"/>
  <c r="C366" i="1"/>
  <c r="C367" i="1"/>
  <c r="C368" i="1"/>
  <c r="C369" i="1"/>
  <c r="C370" i="1"/>
  <c r="C371" i="1"/>
  <c r="C372" i="1"/>
  <c r="C373" i="1"/>
  <c r="C374" i="1"/>
  <c r="C375" i="1"/>
  <c r="C376" i="1"/>
  <c r="C377" i="1"/>
  <c r="Z358" i="1"/>
  <c r="Y358" i="1"/>
  <c r="C358" i="1"/>
  <c r="Z330" i="1"/>
  <c r="Z331" i="1"/>
  <c r="Z332" i="1"/>
  <c r="Z333" i="1"/>
  <c r="Z334" i="1"/>
  <c r="Z335" i="1"/>
  <c r="Z336" i="1"/>
  <c r="Z337" i="1"/>
  <c r="Z338" i="1"/>
  <c r="Z339" i="1"/>
  <c r="Z340" i="1"/>
  <c r="Z341" i="1"/>
  <c r="Z342" i="1"/>
  <c r="Z343" i="1"/>
  <c r="Z344" i="1"/>
  <c r="Z345" i="1"/>
  <c r="Z346" i="1"/>
  <c r="Z347" i="1"/>
  <c r="Z348" i="1"/>
  <c r="Z349" i="1"/>
  <c r="Y330" i="1"/>
  <c r="Y331" i="1"/>
  <c r="Y332" i="1"/>
  <c r="Y333" i="1"/>
  <c r="Y334" i="1"/>
  <c r="Y335" i="1"/>
  <c r="Y336" i="1"/>
  <c r="Y337" i="1"/>
  <c r="Y338" i="1"/>
  <c r="Y339" i="1"/>
  <c r="Y340" i="1"/>
  <c r="Y341" i="1"/>
  <c r="Y342" i="1"/>
  <c r="Y343" i="1"/>
  <c r="Y344" i="1"/>
  <c r="Y345" i="1"/>
  <c r="Y346" i="1"/>
  <c r="Y347" i="1"/>
  <c r="Y348" i="1"/>
  <c r="C330" i="1"/>
  <c r="C331" i="1"/>
  <c r="C332" i="1"/>
  <c r="C333" i="1"/>
  <c r="C334" i="1"/>
  <c r="C335" i="1"/>
  <c r="C336" i="1"/>
  <c r="C337" i="1"/>
  <c r="C338" i="1"/>
  <c r="C339" i="1"/>
  <c r="C340" i="1"/>
  <c r="C341" i="1"/>
  <c r="C342" i="1"/>
  <c r="C343" i="1"/>
  <c r="C344" i="1"/>
  <c r="C345" i="1"/>
  <c r="C346" i="1"/>
  <c r="C347" i="1"/>
  <c r="C348" i="1"/>
  <c r="Z329" i="1"/>
  <c r="Y329" i="1"/>
  <c r="C329" i="1"/>
  <c r="C301" i="1"/>
  <c r="C302" i="1"/>
  <c r="C303" i="1"/>
  <c r="C304" i="1"/>
  <c r="C305" i="1"/>
  <c r="C306" i="1"/>
  <c r="C307" i="1"/>
  <c r="C308" i="1"/>
  <c r="C309" i="1"/>
  <c r="C310" i="1"/>
  <c r="C311" i="1"/>
  <c r="C312" i="1"/>
  <c r="C313" i="1"/>
  <c r="C314" i="1"/>
  <c r="C315" i="1"/>
  <c r="C316" i="1"/>
  <c r="C317" i="1"/>
  <c r="C318" i="1"/>
  <c r="C319" i="1"/>
  <c r="Y301" i="1"/>
  <c r="Y302" i="1"/>
  <c r="Y303" i="1"/>
  <c r="Y304" i="1"/>
  <c r="Y305" i="1"/>
  <c r="Y306" i="1"/>
  <c r="Y307" i="1"/>
  <c r="Y308" i="1"/>
  <c r="Y309" i="1"/>
  <c r="Y310" i="1"/>
  <c r="Y311" i="1"/>
  <c r="Y312" i="1"/>
  <c r="Y313" i="1"/>
  <c r="Y314" i="1"/>
  <c r="Y315" i="1"/>
  <c r="Y316" i="1"/>
  <c r="Y317" i="1"/>
  <c r="Y318" i="1"/>
  <c r="Y319" i="1"/>
  <c r="Y320" i="1"/>
  <c r="Z301" i="1"/>
  <c r="Z302" i="1"/>
  <c r="Z303" i="1"/>
  <c r="Z304" i="1"/>
  <c r="Z305" i="1"/>
  <c r="Z306" i="1"/>
  <c r="Z307" i="1"/>
  <c r="Z308" i="1"/>
  <c r="Z309" i="1"/>
  <c r="Z310" i="1"/>
  <c r="Z311" i="1"/>
  <c r="Z312" i="1"/>
  <c r="Z313" i="1"/>
  <c r="Z314" i="1"/>
  <c r="Z315" i="1"/>
  <c r="Z316" i="1"/>
  <c r="Z317" i="1"/>
  <c r="Z318" i="1"/>
  <c r="Z319" i="1"/>
  <c r="Z300" i="1"/>
  <c r="Y300" i="1"/>
  <c r="C300" i="1"/>
  <c r="C272" i="1"/>
  <c r="C273" i="1"/>
  <c r="C274" i="1"/>
  <c r="C275" i="1"/>
  <c r="C276" i="1"/>
  <c r="C277" i="1"/>
  <c r="C278" i="1"/>
  <c r="C279" i="1"/>
  <c r="C280" i="1"/>
  <c r="C281" i="1"/>
  <c r="C282" i="1"/>
  <c r="C283" i="1"/>
  <c r="C284" i="1"/>
  <c r="C285" i="1"/>
  <c r="C286" i="1"/>
  <c r="C287" i="1"/>
  <c r="C288" i="1"/>
  <c r="C289" i="1"/>
  <c r="C290" i="1"/>
  <c r="Y272" i="1"/>
  <c r="Y273" i="1"/>
  <c r="Y274" i="1"/>
  <c r="Y275" i="1"/>
  <c r="Y276" i="1"/>
  <c r="Y277" i="1"/>
  <c r="Y278" i="1"/>
  <c r="Y279" i="1"/>
  <c r="Y280" i="1"/>
  <c r="Y281" i="1"/>
  <c r="Y282" i="1"/>
  <c r="Y283" i="1"/>
  <c r="Y284" i="1"/>
  <c r="Y285" i="1"/>
  <c r="Y286" i="1"/>
  <c r="Y287" i="1"/>
  <c r="Y288" i="1"/>
  <c r="Y289" i="1"/>
  <c r="Y290" i="1"/>
  <c r="Z272" i="1"/>
  <c r="Z273" i="1"/>
  <c r="Z274" i="1"/>
  <c r="Z275" i="1"/>
  <c r="Z276" i="1"/>
  <c r="Z277" i="1"/>
  <c r="Z278" i="1"/>
  <c r="Z279" i="1"/>
  <c r="Z280" i="1"/>
  <c r="Z281" i="1"/>
  <c r="Z282" i="1"/>
  <c r="Z283" i="1"/>
  <c r="Z284" i="1"/>
  <c r="Z285" i="1"/>
  <c r="Z286" i="1"/>
  <c r="Z287" i="1"/>
  <c r="Z288" i="1"/>
  <c r="Z289" i="1"/>
  <c r="Z290" i="1"/>
  <c r="Z271" i="1"/>
  <c r="Y271" i="1"/>
  <c r="C271" i="1"/>
  <c r="C243" i="1"/>
  <c r="C244" i="1"/>
  <c r="C245" i="1"/>
  <c r="C246" i="1"/>
  <c r="C247" i="1"/>
  <c r="C248" i="1"/>
  <c r="C249" i="1"/>
  <c r="C250" i="1"/>
  <c r="C251" i="1"/>
  <c r="C252" i="1"/>
  <c r="C253" i="1"/>
  <c r="C254" i="1"/>
  <c r="C255" i="1"/>
  <c r="C256" i="1"/>
  <c r="C257" i="1"/>
  <c r="C258" i="1"/>
  <c r="C259" i="1"/>
  <c r="C260" i="1"/>
  <c r="C261" i="1"/>
  <c r="Y243" i="1"/>
  <c r="Y244" i="1"/>
  <c r="Y245" i="1"/>
  <c r="Y246" i="1"/>
  <c r="Y247" i="1"/>
  <c r="Y248" i="1"/>
  <c r="Y249" i="1"/>
  <c r="Y250" i="1"/>
  <c r="Y251" i="1"/>
  <c r="Y252" i="1"/>
  <c r="Y253" i="1"/>
  <c r="Y254" i="1"/>
  <c r="Y255" i="1"/>
  <c r="Y256" i="1"/>
  <c r="Y257" i="1"/>
  <c r="Y258" i="1"/>
  <c r="Y259" i="1"/>
  <c r="Y260" i="1"/>
  <c r="Y261" i="1"/>
  <c r="Z243" i="1"/>
  <c r="Z244" i="1"/>
  <c r="Z245" i="1"/>
  <c r="Z246" i="1"/>
  <c r="Z247" i="1"/>
  <c r="Z248" i="1"/>
  <c r="Z249" i="1"/>
  <c r="Z250" i="1"/>
  <c r="Z251" i="1"/>
  <c r="Z252" i="1"/>
  <c r="Z253" i="1"/>
  <c r="Z254" i="1"/>
  <c r="Z255" i="1"/>
  <c r="Z256" i="1"/>
  <c r="Z257" i="1"/>
  <c r="Z258" i="1"/>
  <c r="Z259" i="1"/>
  <c r="Z260" i="1"/>
  <c r="Z261" i="1"/>
  <c r="Z242" i="1"/>
  <c r="Y242" i="1"/>
  <c r="C242" i="1"/>
  <c r="Z214" i="1"/>
  <c r="Z215" i="1"/>
  <c r="Z216" i="1"/>
  <c r="Z217" i="1"/>
  <c r="Z218" i="1"/>
  <c r="Z219" i="1"/>
  <c r="Z220" i="1"/>
  <c r="Z221" i="1"/>
  <c r="Z222" i="1"/>
  <c r="Z223" i="1"/>
  <c r="Z224" i="1"/>
  <c r="Z225" i="1"/>
  <c r="Z226" i="1"/>
  <c r="Z227" i="1"/>
  <c r="Z228" i="1"/>
  <c r="Z229" i="1"/>
  <c r="Z230" i="1"/>
  <c r="Z231" i="1"/>
  <c r="Z232" i="1"/>
  <c r="Y214" i="1"/>
  <c r="Y215" i="1"/>
  <c r="Y216" i="1"/>
  <c r="Y217" i="1"/>
  <c r="Y218" i="1"/>
  <c r="Y219" i="1"/>
  <c r="Y220" i="1"/>
  <c r="Y221" i="1"/>
  <c r="Y222" i="1"/>
  <c r="Y223" i="1"/>
  <c r="Y224" i="1"/>
  <c r="Y225" i="1"/>
  <c r="Y226" i="1"/>
  <c r="Y227" i="1"/>
  <c r="Y228" i="1"/>
  <c r="Y229" i="1"/>
  <c r="Y230" i="1"/>
  <c r="Y231" i="1"/>
  <c r="Y232" i="1"/>
  <c r="Y233" i="1"/>
  <c r="C214" i="1"/>
  <c r="C215" i="1"/>
  <c r="C216" i="1"/>
  <c r="C217" i="1"/>
  <c r="C218" i="1"/>
  <c r="C219" i="1"/>
  <c r="C220" i="1"/>
  <c r="C221" i="1"/>
  <c r="C222" i="1"/>
  <c r="C223" i="1"/>
  <c r="C224" i="1"/>
  <c r="C225" i="1"/>
  <c r="C226" i="1"/>
  <c r="C227" i="1"/>
  <c r="C228" i="1"/>
  <c r="C229" i="1"/>
  <c r="C230" i="1"/>
  <c r="C231" i="1"/>
  <c r="C232" i="1"/>
  <c r="Z213" i="1"/>
  <c r="Y213" i="1"/>
  <c r="C213" i="1"/>
  <c r="C185" i="1"/>
  <c r="C186" i="1"/>
  <c r="C187" i="1"/>
  <c r="C188" i="1"/>
  <c r="C189" i="1"/>
  <c r="C190" i="1"/>
  <c r="C191" i="1"/>
  <c r="C192" i="1"/>
  <c r="C193" i="1"/>
  <c r="C194" i="1"/>
  <c r="C195" i="1"/>
  <c r="C196" i="1"/>
  <c r="C197" i="1"/>
  <c r="C198" i="1"/>
  <c r="C199" i="1"/>
  <c r="C200" i="1"/>
  <c r="C201" i="1"/>
  <c r="C202" i="1"/>
  <c r="C203" i="1"/>
  <c r="Y185" i="1"/>
  <c r="Y186" i="1"/>
  <c r="Y187" i="1"/>
  <c r="Y188" i="1"/>
  <c r="Y189" i="1"/>
  <c r="Y190" i="1"/>
  <c r="Y191" i="1"/>
  <c r="Y192" i="1"/>
  <c r="Y193" i="1"/>
  <c r="Y194" i="1"/>
  <c r="Y195" i="1"/>
  <c r="Y196" i="1"/>
  <c r="Y197" i="1"/>
  <c r="Y198" i="1"/>
  <c r="Y199" i="1"/>
  <c r="Y200" i="1"/>
  <c r="Y201" i="1"/>
  <c r="Y202" i="1"/>
  <c r="Y203" i="1"/>
  <c r="Z185" i="1"/>
  <c r="Z186" i="1"/>
  <c r="Z187" i="1"/>
  <c r="Z188" i="1"/>
  <c r="Z189" i="1"/>
  <c r="Z190" i="1"/>
  <c r="Z191" i="1"/>
  <c r="Z192" i="1"/>
  <c r="Z193" i="1"/>
  <c r="Z194" i="1"/>
  <c r="Z195" i="1"/>
  <c r="Z196" i="1"/>
  <c r="Z197" i="1"/>
  <c r="Z198" i="1"/>
  <c r="Z199" i="1"/>
  <c r="Z200" i="1"/>
  <c r="Z201" i="1"/>
  <c r="Z202" i="1"/>
  <c r="Z203" i="1"/>
  <c r="Z184" i="1"/>
  <c r="Y184" i="1"/>
  <c r="C184" i="1"/>
  <c r="Z156" i="1"/>
  <c r="Z157" i="1"/>
  <c r="Z158" i="1"/>
  <c r="Z159" i="1"/>
  <c r="Z160" i="1"/>
  <c r="Z161" i="1"/>
  <c r="Z162" i="1"/>
  <c r="Z163" i="1"/>
  <c r="Z164" i="1"/>
  <c r="Z165" i="1"/>
  <c r="Z166" i="1"/>
  <c r="Z167" i="1"/>
  <c r="Z168" i="1"/>
  <c r="Z169" i="1"/>
  <c r="Z170" i="1"/>
  <c r="Z171" i="1"/>
  <c r="Z172" i="1"/>
  <c r="Z173" i="1"/>
  <c r="Z174" i="1"/>
  <c r="Y156" i="1"/>
  <c r="Y157" i="1"/>
  <c r="Y158" i="1"/>
  <c r="Y159" i="1"/>
  <c r="Y160" i="1"/>
  <c r="Y161" i="1"/>
  <c r="Y162" i="1"/>
  <c r="Y163" i="1"/>
  <c r="Y164" i="1"/>
  <c r="Y165" i="1"/>
  <c r="Y166" i="1"/>
  <c r="Y167" i="1"/>
  <c r="Y168" i="1"/>
  <c r="Y169" i="1"/>
  <c r="Y170" i="1"/>
  <c r="Y171" i="1"/>
  <c r="Y172" i="1"/>
  <c r="Y173" i="1"/>
  <c r="Y174" i="1"/>
  <c r="C156" i="1"/>
  <c r="C157" i="1"/>
  <c r="C158" i="1"/>
  <c r="C159" i="1"/>
  <c r="C160" i="1"/>
  <c r="C161" i="1"/>
  <c r="C162" i="1"/>
  <c r="C163" i="1"/>
  <c r="C164" i="1"/>
  <c r="C165" i="1"/>
  <c r="C166" i="1"/>
  <c r="C167" i="1"/>
  <c r="C168" i="1"/>
  <c r="C169" i="1"/>
  <c r="C170" i="1"/>
  <c r="C171" i="1"/>
  <c r="C172" i="1"/>
  <c r="C173" i="1"/>
  <c r="C174" i="1"/>
  <c r="Z155" i="1"/>
  <c r="Y155" i="1"/>
  <c r="Z127" i="1"/>
  <c r="Z128" i="1"/>
  <c r="Z129" i="1"/>
  <c r="Z130" i="1"/>
  <c r="Z131" i="1"/>
  <c r="Z132" i="1"/>
  <c r="Z133" i="1"/>
  <c r="Z134" i="1"/>
  <c r="Z135" i="1"/>
  <c r="Z136" i="1"/>
  <c r="Z137" i="1"/>
  <c r="Z138" i="1"/>
  <c r="Z139" i="1"/>
  <c r="Z140" i="1"/>
  <c r="Z141" i="1"/>
  <c r="Z142" i="1"/>
  <c r="Z143" i="1"/>
  <c r="Z144" i="1"/>
  <c r="Z145" i="1"/>
  <c r="Y127" i="1"/>
  <c r="Y128" i="1"/>
  <c r="Y129" i="1"/>
  <c r="Y130" i="1"/>
  <c r="Y131" i="1"/>
  <c r="Y132" i="1"/>
  <c r="Y133" i="1"/>
  <c r="Y134" i="1"/>
  <c r="Y135" i="1"/>
  <c r="Y136" i="1"/>
  <c r="Y137" i="1"/>
  <c r="Y138" i="1"/>
  <c r="Y139" i="1"/>
  <c r="Y140" i="1"/>
  <c r="Y141" i="1"/>
  <c r="Y142" i="1"/>
  <c r="Y143" i="1"/>
  <c r="Y144" i="1"/>
  <c r="Y145" i="1"/>
  <c r="Z126" i="1"/>
  <c r="Y126" i="1"/>
  <c r="C127" i="1"/>
  <c r="C128" i="1"/>
  <c r="C129" i="1"/>
  <c r="C130" i="1"/>
  <c r="C131" i="1"/>
  <c r="C132" i="1"/>
  <c r="C133" i="1"/>
  <c r="C134" i="1"/>
  <c r="C135" i="1"/>
  <c r="C136" i="1"/>
  <c r="C137" i="1"/>
  <c r="C138" i="1"/>
  <c r="C139" i="1"/>
  <c r="C140" i="1"/>
  <c r="C141" i="1"/>
  <c r="C142" i="1"/>
  <c r="C143" i="1"/>
  <c r="C144" i="1"/>
  <c r="C145" i="1"/>
  <c r="C126" i="1"/>
  <c r="C357" i="1"/>
  <c r="C328" i="1"/>
  <c r="C299" i="1"/>
  <c r="C270" i="1"/>
  <c r="C241" i="1"/>
  <c r="C212" i="1"/>
  <c r="C183" i="1"/>
  <c r="C154" i="1"/>
  <c r="C125" i="1"/>
  <c r="AC26" i="1" l="1"/>
  <c r="Y9" i="1" l="1"/>
  <c r="Z9" i="1"/>
  <c r="Y10" i="1"/>
  <c r="Z10" i="1"/>
  <c r="C11" i="1"/>
  <c r="Y11" i="1"/>
  <c r="Z11" i="1"/>
  <c r="C12" i="1"/>
  <c r="Y12" i="1"/>
  <c r="Z12" i="1"/>
  <c r="C13" i="1"/>
  <c r="Y13" i="1"/>
  <c r="Z13" i="1"/>
  <c r="C14" i="1"/>
  <c r="Y14" i="1"/>
  <c r="Z14" i="1"/>
  <c r="C15" i="1"/>
  <c r="Y15" i="1"/>
  <c r="Z15" i="1"/>
  <c r="C16" i="1"/>
  <c r="Y16" i="1"/>
  <c r="Z16" i="1"/>
  <c r="C17" i="1" l="1"/>
  <c r="C18" i="1"/>
  <c r="C19" i="1"/>
  <c r="A1" i="9" l="1"/>
  <c r="E1" i="9" s="1"/>
  <c r="F4" i="1"/>
  <c r="A5" i="9" l="1"/>
  <c r="E5" i="9" s="1"/>
  <c r="C115" i="9"/>
  <c r="G115" i="9" s="1"/>
  <c r="C111" i="9"/>
  <c r="G111" i="9" s="1"/>
  <c r="C107" i="9"/>
  <c r="G107" i="9" s="1"/>
  <c r="C103" i="9"/>
  <c r="G103" i="9" s="1"/>
  <c r="C99" i="9"/>
  <c r="G99" i="9" s="1"/>
  <c r="C95" i="9"/>
  <c r="G95" i="9" s="1"/>
  <c r="C91" i="9"/>
  <c r="G91" i="9" s="1"/>
  <c r="C87" i="9"/>
  <c r="G87" i="9" s="1"/>
  <c r="C83" i="9"/>
  <c r="G83" i="9" s="1"/>
  <c r="C79" i="9"/>
  <c r="G79" i="9" s="1"/>
  <c r="C76" i="9"/>
  <c r="G76" i="9" s="1"/>
  <c r="C72" i="9"/>
  <c r="G72" i="9" s="1"/>
  <c r="C68" i="9"/>
  <c r="G68" i="9" s="1"/>
  <c r="C64" i="9"/>
  <c r="G64" i="9" s="1"/>
  <c r="C60" i="9"/>
  <c r="G60" i="9" s="1"/>
  <c r="C56" i="9"/>
  <c r="G56" i="9" s="1"/>
  <c r="C52" i="9"/>
  <c r="G52" i="9" s="1"/>
  <c r="C48" i="9"/>
  <c r="G48" i="9" s="1"/>
  <c r="C44" i="9"/>
  <c r="G44" i="9" s="1"/>
  <c r="C40" i="9"/>
  <c r="G40" i="9" s="1"/>
  <c r="C37" i="9"/>
  <c r="G37" i="9" s="1"/>
  <c r="C33" i="9"/>
  <c r="G33" i="9" s="1"/>
  <c r="C29" i="9"/>
  <c r="G29" i="9" s="1"/>
  <c r="C25" i="9"/>
  <c r="G25" i="9" s="1"/>
  <c r="C21" i="9"/>
  <c r="G21" i="9" s="1"/>
  <c r="C17" i="9"/>
  <c r="G17" i="9" s="1"/>
  <c r="C13" i="9"/>
  <c r="G13" i="9" s="1"/>
  <c r="C9" i="9"/>
  <c r="G9" i="9" s="1"/>
  <c r="C5" i="9"/>
  <c r="G5" i="9" s="1"/>
  <c r="G78" i="9"/>
  <c r="C78" i="9"/>
  <c r="G117" i="9"/>
  <c r="C117" i="9"/>
  <c r="C1" i="9"/>
  <c r="G1" i="9" s="1"/>
  <c r="G113" i="9"/>
  <c r="C113" i="9"/>
  <c r="G109" i="9"/>
  <c r="C109" i="9"/>
  <c r="G105" i="9"/>
  <c r="C105" i="9"/>
  <c r="G101" i="9"/>
  <c r="C101" i="9"/>
  <c r="G97" i="9"/>
  <c r="C97" i="9"/>
  <c r="G93" i="9"/>
  <c r="C93" i="9"/>
  <c r="G89" i="9"/>
  <c r="C89" i="9"/>
  <c r="G85" i="9"/>
  <c r="C85" i="9"/>
  <c r="G81" i="9"/>
  <c r="C81" i="9"/>
  <c r="G74" i="9"/>
  <c r="C74" i="9"/>
  <c r="G70" i="9"/>
  <c r="C70" i="9"/>
  <c r="G66" i="9"/>
  <c r="C66" i="9"/>
  <c r="G62" i="9"/>
  <c r="C62" i="9"/>
  <c r="G58" i="9"/>
  <c r="C58" i="9"/>
  <c r="G54" i="9"/>
  <c r="C54" i="9"/>
  <c r="G50" i="9"/>
  <c r="C50" i="9"/>
  <c r="G46" i="9"/>
  <c r="C46" i="9"/>
  <c r="G42" i="9"/>
  <c r="C42" i="9"/>
  <c r="G39" i="9"/>
  <c r="C39" i="9"/>
  <c r="G35" i="9"/>
  <c r="C35" i="9"/>
  <c r="G31" i="9"/>
  <c r="C31" i="9"/>
  <c r="G27" i="9"/>
  <c r="C27" i="9"/>
  <c r="G23" i="9"/>
  <c r="C23" i="9"/>
  <c r="G19" i="9"/>
  <c r="C19" i="9"/>
  <c r="G15" i="9"/>
  <c r="C15" i="9"/>
  <c r="G11" i="9"/>
  <c r="C11" i="9"/>
  <c r="G7" i="9"/>
  <c r="C7" i="9"/>
  <c r="G3" i="9"/>
  <c r="C3" i="9"/>
  <c r="A9" i="9" l="1"/>
  <c r="A13" i="9" s="1"/>
  <c r="C3" i="5"/>
  <c r="D21" i="1"/>
  <c r="G7" i="1"/>
  <c r="E206" i="3" s="1"/>
  <c r="L3" i="1"/>
  <c r="I204" i="3" s="1"/>
  <c r="E2" i="1"/>
  <c r="Y98" i="1"/>
  <c r="Y99" i="1"/>
  <c r="Y100" i="1"/>
  <c r="Y101" i="1"/>
  <c r="Y102" i="1"/>
  <c r="Y103" i="1"/>
  <c r="Y104" i="1"/>
  <c r="Y105" i="1"/>
  <c r="Y106" i="1"/>
  <c r="Y107" i="1"/>
  <c r="Y108" i="1"/>
  <c r="Y109" i="1"/>
  <c r="Y110" i="1"/>
  <c r="Y111" i="1"/>
  <c r="Y112" i="1"/>
  <c r="Y113" i="1"/>
  <c r="Y114" i="1"/>
  <c r="Y115" i="1"/>
  <c r="Y116" i="1"/>
  <c r="Y97" i="1"/>
  <c r="Y69" i="1"/>
  <c r="Y70" i="1"/>
  <c r="Y71" i="1"/>
  <c r="Y72" i="1"/>
  <c r="Y73" i="1"/>
  <c r="Y74" i="1"/>
  <c r="Y75" i="1"/>
  <c r="Y76" i="1"/>
  <c r="Y77" i="1"/>
  <c r="Y78" i="1"/>
  <c r="Y79" i="1"/>
  <c r="Y80" i="1"/>
  <c r="Y81" i="1"/>
  <c r="Y82" i="1"/>
  <c r="Y83" i="1"/>
  <c r="Y84" i="1"/>
  <c r="Y85" i="1"/>
  <c r="Y86" i="1"/>
  <c r="Y87" i="1"/>
  <c r="Y68" i="1"/>
  <c r="Y40" i="1"/>
  <c r="Y41" i="1"/>
  <c r="Y42" i="1"/>
  <c r="Y43" i="1"/>
  <c r="Y44" i="1"/>
  <c r="Y45" i="1"/>
  <c r="Y46" i="1"/>
  <c r="Y47" i="1"/>
  <c r="Y48" i="1"/>
  <c r="Y49" i="1"/>
  <c r="Y50" i="1"/>
  <c r="Y51" i="1"/>
  <c r="Y52" i="1"/>
  <c r="Y53" i="1"/>
  <c r="Y54" i="1"/>
  <c r="Y55" i="1"/>
  <c r="Y56" i="1"/>
  <c r="Y57" i="1"/>
  <c r="Y58" i="1"/>
  <c r="Y39" i="1"/>
  <c r="Y17" i="1"/>
  <c r="Y18" i="1"/>
  <c r="Y19" i="1"/>
  <c r="H1" i="3"/>
  <c r="C98" i="1"/>
  <c r="I156" i="3" s="1"/>
  <c r="C99" i="1"/>
  <c r="C162" i="3" s="1"/>
  <c r="C100" i="1"/>
  <c r="I162" i="3" s="1"/>
  <c r="C101" i="1"/>
  <c r="C168" i="3" s="1"/>
  <c r="C102" i="1"/>
  <c r="I168" i="3" s="1"/>
  <c r="C103" i="1"/>
  <c r="C174" i="3" s="1"/>
  <c r="C104" i="1"/>
  <c r="I174" i="3" s="1"/>
  <c r="C105" i="1"/>
  <c r="C179" i="3" s="1"/>
  <c r="C106" i="1"/>
  <c r="I179" i="3" s="1"/>
  <c r="C107" i="1"/>
  <c r="C185" i="3" s="1"/>
  <c r="C108" i="1"/>
  <c r="I185" i="3" s="1"/>
  <c r="C109" i="1"/>
  <c r="C191" i="3" s="1"/>
  <c r="C110" i="1"/>
  <c r="I191" i="3" s="1"/>
  <c r="C111" i="1"/>
  <c r="C197" i="3" s="1"/>
  <c r="C112" i="1"/>
  <c r="I197" i="3" s="1"/>
  <c r="C113" i="1"/>
  <c r="C203" i="3" s="1"/>
  <c r="C114" i="1"/>
  <c r="I203" i="3" s="1"/>
  <c r="C115" i="1"/>
  <c r="C116" i="1"/>
  <c r="C97" i="1"/>
  <c r="C156" i="3" s="1"/>
  <c r="C69" i="1"/>
  <c r="I98" i="3" s="1"/>
  <c r="C70" i="1"/>
  <c r="C104" i="3" s="1"/>
  <c r="C71" i="1"/>
  <c r="I104" i="3" s="1"/>
  <c r="C72" i="1"/>
  <c r="C110" i="3" s="1"/>
  <c r="C73" i="1"/>
  <c r="I110" i="3" s="1"/>
  <c r="C74" i="1"/>
  <c r="C116" i="3" s="1"/>
  <c r="C75" i="1"/>
  <c r="I116" i="3" s="1"/>
  <c r="C76" i="1"/>
  <c r="C121" i="3" s="1"/>
  <c r="C77" i="1"/>
  <c r="I121" i="3" s="1"/>
  <c r="C78" i="1"/>
  <c r="C127" i="3" s="1"/>
  <c r="C79" i="1"/>
  <c r="I127" i="3" s="1"/>
  <c r="C80" i="1"/>
  <c r="C133" i="3" s="1"/>
  <c r="C81" i="1"/>
  <c r="I133" i="3" s="1"/>
  <c r="C82" i="1"/>
  <c r="C139" i="3" s="1"/>
  <c r="C83" i="1"/>
  <c r="I139" i="3" s="1"/>
  <c r="C84" i="1"/>
  <c r="C145" i="3" s="1"/>
  <c r="C85" i="1"/>
  <c r="I145" i="3" s="1"/>
  <c r="C86" i="1"/>
  <c r="C150" i="3" s="1"/>
  <c r="C87" i="1"/>
  <c r="I150" i="3" s="1"/>
  <c r="C68" i="1"/>
  <c r="C98" i="3" s="1"/>
  <c r="C40" i="1"/>
  <c r="I38" i="3" s="1"/>
  <c r="C41" i="1"/>
  <c r="C44" i="3" s="1"/>
  <c r="C42" i="1"/>
  <c r="I44" i="3" s="1"/>
  <c r="C43" i="1"/>
  <c r="C50" i="3" s="1"/>
  <c r="C44" i="1"/>
  <c r="I50" i="3" s="1"/>
  <c r="C45" i="1"/>
  <c r="C56" i="3" s="1"/>
  <c r="C46" i="1"/>
  <c r="I56" i="3" s="1"/>
  <c r="C47" i="1"/>
  <c r="C62" i="3" s="1"/>
  <c r="C48" i="1"/>
  <c r="I62" i="3" s="1"/>
  <c r="C49" i="1"/>
  <c r="C68" i="3" s="1"/>
  <c r="C50" i="1"/>
  <c r="I68" i="3" s="1"/>
  <c r="C51" i="1"/>
  <c r="C74" i="3" s="1"/>
  <c r="C52" i="1"/>
  <c r="I74" i="3" s="1"/>
  <c r="C53" i="1"/>
  <c r="C80" i="3" s="1"/>
  <c r="C54" i="1"/>
  <c r="I80" i="3" s="1"/>
  <c r="C55" i="1"/>
  <c r="C86" i="3" s="1"/>
  <c r="C56" i="1"/>
  <c r="I86" i="3" s="1"/>
  <c r="C57" i="1"/>
  <c r="C92" i="3" s="1"/>
  <c r="C58" i="1"/>
  <c r="I92" i="3" s="1"/>
  <c r="C39" i="1"/>
  <c r="C38" i="3" s="1"/>
  <c r="C8" i="3"/>
  <c r="I8" i="3"/>
  <c r="I14" i="3"/>
  <c r="C32" i="3"/>
  <c r="I2" i="3"/>
  <c r="Z98" i="1"/>
  <c r="H155" i="3" s="1"/>
  <c r="Z99" i="1"/>
  <c r="B161" i="3" s="1"/>
  <c r="Z100" i="1"/>
  <c r="H161" i="3" s="1"/>
  <c r="Z101" i="1"/>
  <c r="B167" i="3" s="1"/>
  <c r="Z102" i="1"/>
  <c r="H167" i="3" s="1"/>
  <c r="Z103" i="1"/>
  <c r="B173" i="3" s="1"/>
  <c r="Z104" i="1"/>
  <c r="H173" i="3" s="1"/>
  <c r="Z105" i="1"/>
  <c r="B178" i="3" s="1"/>
  <c r="Z106" i="1"/>
  <c r="H178" i="3" s="1"/>
  <c r="Z107" i="1"/>
  <c r="B184" i="3" s="1"/>
  <c r="Z108" i="1"/>
  <c r="H184" i="3" s="1"/>
  <c r="Z109" i="1"/>
  <c r="B190" i="3" s="1"/>
  <c r="Z110" i="1"/>
  <c r="H190" i="3" s="1"/>
  <c r="Z111" i="1"/>
  <c r="B196" i="3" s="1"/>
  <c r="Z112" i="1"/>
  <c r="H196" i="3" s="1"/>
  <c r="Z113" i="1"/>
  <c r="B202" i="3" s="1"/>
  <c r="Z114" i="1"/>
  <c r="H202" i="3" s="1"/>
  <c r="Z115" i="1"/>
  <c r="Z116" i="1"/>
  <c r="Z97" i="1"/>
  <c r="B155" i="3" s="1"/>
  <c r="Z69" i="1"/>
  <c r="H97" i="3" s="1"/>
  <c r="Z70" i="1"/>
  <c r="B103" i="3" s="1"/>
  <c r="Z71" i="1"/>
  <c r="H103" i="3" s="1"/>
  <c r="Z72" i="1"/>
  <c r="B109" i="3" s="1"/>
  <c r="Z73" i="1"/>
  <c r="H109" i="3" s="1"/>
  <c r="Z74" i="1"/>
  <c r="B115" i="3" s="1"/>
  <c r="Z75" i="1"/>
  <c r="H115" i="3" s="1"/>
  <c r="Z76" i="1"/>
  <c r="B120" i="3" s="1"/>
  <c r="Z77" i="1"/>
  <c r="H120" i="3" s="1"/>
  <c r="Z78" i="1"/>
  <c r="B126" i="3" s="1"/>
  <c r="Z79" i="1"/>
  <c r="H126" i="3" s="1"/>
  <c r="Z80" i="1"/>
  <c r="B132" i="3" s="1"/>
  <c r="Z81" i="1"/>
  <c r="H132" i="3" s="1"/>
  <c r="Z82" i="1"/>
  <c r="B138" i="3" s="1"/>
  <c r="Z83" i="1"/>
  <c r="H138" i="3" s="1"/>
  <c r="Z84" i="1"/>
  <c r="B144" i="3" s="1"/>
  <c r="Z85" i="1"/>
  <c r="H144" i="3" s="1"/>
  <c r="Z86" i="1"/>
  <c r="B149" i="3" s="1"/>
  <c r="Z87" i="1"/>
  <c r="H149" i="3" s="1"/>
  <c r="Z68" i="1"/>
  <c r="B97" i="3" s="1"/>
  <c r="Z40" i="1"/>
  <c r="H37" i="3" s="1"/>
  <c r="Z41" i="1"/>
  <c r="B43" i="3" s="1"/>
  <c r="Z42" i="1"/>
  <c r="H43" i="3" s="1"/>
  <c r="Z43" i="1"/>
  <c r="B49" i="3" s="1"/>
  <c r="Z44" i="1"/>
  <c r="H49" i="3" s="1"/>
  <c r="Z45" i="1"/>
  <c r="B55" i="3" s="1"/>
  <c r="Z46" i="1"/>
  <c r="H55" i="3" s="1"/>
  <c r="Z47" i="1"/>
  <c r="B61" i="3" s="1"/>
  <c r="Z48" i="1"/>
  <c r="H61" i="3" s="1"/>
  <c r="Z49" i="1"/>
  <c r="B67" i="3" s="1"/>
  <c r="Z50" i="1"/>
  <c r="H67" i="3" s="1"/>
  <c r="Z51" i="1"/>
  <c r="B73" i="3" s="1"/>
  <c r="Z52" i="1"/>
  <c r="H73" i="3" s="1"/>
  <c r="Z53" i="1"/>
  <c r="B79" i="3" s="1"/>
  <c r="Z54" i="1"/>
  <c r="H79" i="3" s="1"/>
  <c r="Z55" i="1"/>
  <c r="B85" i="3" s="1"/>
  <c r="Z56" i="1"/>
  <c r="H85" i="3" s="1"/>
  <c r="Z57" i="1"/>
  <c r="B91" i="3" s="1"/>
  <c r="Z58" i="1"/>
  <c r="H91" i="3" s="1"/>
  <c r="Z39" i="1"/>
  <c r="B37" i="3" s="1"/>
  <c r="B7" i="3"/>
  <c r="H7" i="3"/>
  <c r="B13" i="3"/>
  <c r="H13" i="3"/>
  <c r="B19" i="3"/>
  <c r="H19" i="3"/>
  <c r="B25" i="3"/>
  <c r="Z17" i="1"/>
  <c r="H25" i="3" s="1"/>
  <c r="Z18" i="1"/>
  <c r="B31" i="3" s="1"/>
  <c r="Z19" i="1"/>
  <c r="H31" i="3" s="1"/>
  <c r="B3" i="1"/>
  <c r="B33" i="1" s="1"/>
  <c r="I32" i="3"/>
  <c r="I26" i="3"/>
  <c r="C26" i="3"/>
  <c r="I20" i="3"/>
  <c r="C20" i="3"/>
  <c r="C14" i="3"/>
  <c r="A7" i="3"/>
  <c r="G7" i="3" s="1"/>
  <c r="A13" i="3" s="1"/>
  <c r="G13" i="3" s="1"/>
  <c r="A19" i="3" s="1"/>
  <c r="G19" i="3" s="1"/>
  <c r="A25" i="3" s="1"/>
  <c r="G25" i="3" s="1"/>
  <c r="A31" i="3" s="1"/>
  <c r="G31" i="3" s="1"/>
  <c r="A37" i="3" s="1"/>
  <c r="G37" i="3" s="1"/>
  <c r="A43" i="3" s="1"/>
  <c r="G43" i="3" s="1"/>
  <c r="H206" i="3"/>
  <c r="I205" i="3"/>
  <c r="H200" i="3"/>
  <c r="I199" i="3"/>
  <c r="H194" i="3"/>
  <c r="I193" i="3"/>
  <c r="H188" i="3"/>
  <c r="I187" i="3"/>
  <c r="H182" i="3"/>
  <c r="I181" i="3"/>
  <c r="H177" i="3"/>
  <c r="I176" i="3"/>
  <c r="H171" i="3"/>
  <c r="I170" i="3"/>
  <c r="H165" i="3"/>
  <c r="I164" i="3"/>
  <c r="H159" i="3"/>
  <c r="I158" i="3"/>
  <c r="H153" i="3"/>
  <c r="I152" i="3"/>
  <c r="H148" i="3"/>
  <c r="I147" i="3"/>
  <c r="H142" i="3"/>
  <c r="I141" i="3"/>
  <c r="H136" i="3"/>
  <c r="I135" i="3"/>
  <c r="H130" i="3"/>
  <c r="I129" i="3"/>
  <c r="H124" i="3"/>
  <c r="I123" i="3"/>
  <c r="H113" i="3"/>
  <c r="I112" i="3"/>
  <c r="K107" i="3"/>
  <c r="H107" i="3"/>
  <c r="I106" i="3"/>
  <c r="H101" i="3"/>
  <c r="I100" i="3"/>
  <c r="H95" i="3"/>
  <c r="I94" i="3"/>
  <c r="H11" i="3"/>
  <c r="I10" i="3"/>
  <c r="B206" i="3"/>
  <c r="C205" i="3"/>
  <c r="B200" i="3"/>
  <c r="C199" i="3"/>
  <c r="B194" i="3"/>
  <c r="C193" i="3"/>
  <c r="B188" i="3"/>
  <c r="C187" i="3"/>
  <c r="B182" i="3"/>
  <c r="C181" i="3"/>
  <c r="B177" i="3"/>
  <c r="C176" i="3"/>
  <c r="B171" i="3"/>
  <c r="C170" i="3"/>
  <c r="B165" i="3"/>
  <c r="C164" i="3"/>
  <c r="B159" i="3"/>
  <c r="C158" i="3"/>
  <c r="B153" i="3"/>
  <c r="C152" i="3"/>
  <c r="B148" i="3"/>
  <c r="C147" i="3"/>
  <c r="B142" i="3"/>
  <c r="C141" i="3"/>
  <c r="B136" i="3"/>
  <c r="C135" i="3"/>
  <c r="B130" i="3"/>
  <c r="C129" i="3"/>
  <c r="B124" i="3"/>
  <c r="C123" i="3"/>
  <c r="B119" i="3"/>
  <c r="C118" i="3"/>
  <c r="B113" i="3"/>
  <c r="C112" i="3"/>
  <c r="E107" i="3"/>
  <c r="B107" i="3"/>
  <c r="C106" i="3"/>
  <c r="B101" i="3"/>
  <c r="C100" i="3"/>
  <c r="B95" i="3"/>
  <c r="C94" i="3"/>
  <c r="H119" i="3"/>
  <c r="C96" i="1"/>
  <c r="C67" i="1"/>
  <c r="E9" i="9" l="1"/>
  <c r="E13" i="9"/>
  <c r="A17" i="9"/>
  <c r="I151" i="3"/>
  <c r="C186" i="3"/>
  <c r="C204" i="3"/>
  <c r="C105" i="3"/>
  <c r="C111" i="3"/>
  <c r="C169" i="3"/>
  <c r="I169" i="3"/>
  <c r="C146" i="3"/>
  <c r="C163" i="3"/>
  <c r="C180" i="3"/>
  <c r="I128" i="3"/>
  <c r="I146" i="3"/>
  <c r="I163" i="3"/>
  <c r="I198" i="3"/>
  <c r="C122" i="3"/>
  <c r="C140" i="3"/>
  <c r="C157" i="3"/>
  <c r="I93" i="3"/>
  <c r="I122" i="3"/>
  <c r="I140" i="3"/>
  <c r="I192" i="3"/>
  <c r="C93" i="3"/>
  <c r="C117" i="3"/>
  <c r="C134" i="3"/>
  <c r="C192" i="3"/>
  <c r="I9" i="3"/>
  <c r="I105" i="3"/>
  <c r="I111" i="3"/>
  <c r="I175" i="3"/>
  <c r="I186" i="3"/>
  <c r="C99" i="3"/>
  <c r="C128" i="3"/>
  <c r="C151" i="3"/>
  <c r="C175" i="3"/>
  <c r="C198" i="3"/>
  <c r="I99" i="3"/>
  <c r="I134" i="3"/>
  <c r="I157" i="3"/>
  <c r="I180" i="3"/>
  <c r="E29" i="3"/>
  <c r="K41" i="3"/>
  <c r="E5" i="3"/>
  <c r="K53" i="3"/>
  <c r="E17" i="3"/>
  <c r="K65" i="3"/>
  <c r="K83" i="3"/>
  <c r="E89" i="3"/>
  <c r="E101" i="3"/>
  <c r="E124" i="3"/>
  <c r="K136" i="3"/>
  <c r="E142" i="3"/>
  <c r="E153" i="3"/>
  <c r="E165" i="3"/>
  <c r="E177" i="3"/>
  <c r="E188" i="3"/>
  <c r="E200" i="3"/>
  <c r="K5" i="3"/>
  <c r="K17" i="3"/>
  <c r="E35" i="3"/>
  <c r="E41" i="3"/>
  <c r="E53" i="3"/>
  <c r="E65" i="3"/>
  <c r="K77" i="3"/>
  <c r="K89" i="3"/>
  <c r="K101" i="3"/>
  <c r="E119" i="3"/>
  <c r="K130" i="3"/>
  <c r="K142" i="3"/>
  <c r="K153" i="3"/>
  <c r="K165" i="3"/>
  <c r="K177" i="3"/>
  <c r="K188" i="3"/>
  <c r="K200" i="3"/>
  <c r="K11" i="3"/>
  <c r="K23" i="3"/>
  <c r="K35" i="3"/>
  <c r="E47" i="3"/>
  <c r="E59" i="3"/>
  <c r="E71" i="3"/>
  <c r="E77" i="3"/>
  <c r="K95" i="3"/>
  <c r="K113" i="3"/>
  <c r="K119" i="3"/>
  <c r="E130" i="3"/>
  <c r="K148" i="3"/>
  <c r="K159" i="3"/>
  <c r="K171" i="3"/>
  <c r="K182" i="3"/>
  <c r="K194" i="3"/>
  <c r="K206" i="3"/>
  <c r="E11" i="3"/>
  <c r="E23" i="3"/>
  <c r="K29" i="3"/>
  <c r="K47" i="3"/>
  <c r="K59" i="3"/>
  <c r="K71" i="3"/>
  <c r="E83" i="3"/>
  <c r="E95" i="3"/>
  <c r="E113" i="3"/>
  <c r="K124" i="3"/>
  <c r="E136" i="3"/>
  <c r="E148" i="3"/>
  <c r="E159" i="3"/>
  <c r="E171" i="3"/>
  <c r="E182" i="3"/>
  <c r="E194" i="3"/>
  <c r="C38" i="1"/>
  <c r="E17" i="9" l="1"/>
  <c r="A21" i="9"/>
  <c r="E49" i="4"/>
  <c r="E36" i="4"/>
  <c r="E37" i="4"/>
  <c r="E38" i="4"/>
  <c r="E39" i="4"/>
  <c r="E40" i="4"/>
  <c r="E41" i="4"/>
  <c r="E42" i="4"/>
  <c r="E43" i="4"/>
  <c r="E44" i="4"/>
  <c r="E45" i="4"/>
  <c r="E46" i="4"/>
  <c r="E47" i="4"/>
  <c r="E48" i="4"/>
  <c r="D36" i="4"/>
  <c r="D37" i="4"/>
  <c r="D38" i="4"/>
  <c r="D39" i="4"/>
  <c r="D40" i="4"/>
  <c r="D41" i="4"/>
  <c r="D42" i="4"/>
  <c r="D43" i="4"/>
  <c r="D44" i="4"/>
  <c r="D45" i="4"/>
  <c r="D46" i="4"/>
  <c r="D47" i="4"/>
  <c r="D48" i="4"/>
  <c r="D49" i="4"/>
  <c r="B36" i="4"/>
  <c r="B37" i="4"/>
  <c r="B38" i="4"/>
  <c r="B39" i="4"/>
  <c r="B40" i="4"/>
  <c r="B41" i="4"/>
  <c r="B42" i="4"/>
  <c r="B43" i="4"/>
  <c r="B44" i="4"/>
  <c r="B45" i="4"/>
  <c r="B46" i="4"/>
  <c r="B47" i="4"/>
  <c r="B48" i="4"/>
  <c r="B49" i="4"/>
  <c r="E35" i="4"/>
  <c r="D35" i="4"/>
  <c r="B35" i="4"/>
  <c r="Q3" i="4"/>
  <c r="Q32" i="4" s="1"/>
  <c r="C32" i="4"/>
  <c r="E7" i="4"/>
  <c r="E8" i="4"/>
  <c r="E9" i="4"/>
  <c r="E10" i="4"/>
  <c r="E11" i="4"/>
  <c r="E12" i="4"/>
  <c r="E13" i="4"/>
  <c r="E14" i="4"/>
  <c r="E15" i="4"/>
  <c r="E16" i="4"/>
  <c r="E17" i="4"/>
  <c r="E18" i="4"/>
  <c r="E19" i="4"/>
  <c r="E20" i="4"/>
  <c r="E6" i="4"/>
  <c r="D7" i="4"/>
  <c r="D8" i="4"/>
  <c r="D9" i="4"/>
  <c r="D10" i="4"/>
  <c r="D11" i="4"/>
  <c r="D12" i="4"/>
  <c r="D13" i="4"/>
  <c r="D14" i="4"/>
  <c r="D15" i="4"/>
  <c r="D16" i="4"/>
  <c r="D17" i="4"/>
  <c r="D18" i="4"/>
  <c r="D19" i="4"/>
  <c r="D20" i="4"/>
  <c r="D6" i="4"/>
  <c r="B15" i="4"/>
  <c r="B8" i="4"/>
  <c r="B9" i="4"/>
  <c r="B10" i="4"/>
  <c r="B11" i="4"/>
  <c r="B12" i="4"/>
  <c r="B13" i="4"/>
  <c r="B14" i="4"/>
  <c r="B16" i="4"/>
  <c r="B17" i="4"/>
  <c r="B18" i="4"/>
  <c r="B19" i="4"/>
  <c r="B20" i="4"/>
  <c r="B7" i="4"/>
  <c r="B6" i="4"/>
  <c r="E21" i="9" l="1"/>
  <c r="A25" i="9"/>
  <c r="H89" i="3"/>
  <c r="B89" i="3"/>
  <c r="H83" i="3"/>
  <c r="B83" i="3"/>
  <c r="H77" i="3"/>
  <c r="B77" i="3"/>
  <c r="H71" i="3"/>
  <c r="B71" i="3"/>
  <c r="H65" i="3"/>
  <c r="B65" i="3"/>
  <c r="H59" i="3"/>
  <c r="B59" i="3"/>
  <c r="H53" i="3"/>
  <c r="B53" i="3"/>
  <c r="B47" i="3"/>
  <c r="H41" i="3"/>
  <c r="B41" i="3"/>
  <c r="H35" i="3"/>
  <c r="B35" i="3"/>
  <c r="H29" i="3"/>
  <c r="B29" i="3"/>
  <c r="H23" i="3"/>
  <c r="B23" i="3"/>
  <c r="H17" i="3"/>
  <c r="B17" i="3"/>
  <c r="B11" i="3"/>
  <c r="I118" i="3"/>
  <c r="I117" i="3"/>
  <c r="I88" i="3"/>
  <c r="C88" i="3"/>
  <c r="I87" i="3"/>
  <c r="C87" i="3"/>
  <c r="I82" i="3"/>
  <c r="C82" i="3"/>
  <c r="I81" i="3"/>
  <c r="C81" i="3"/>
  <c r="I76" i="3"/>
  <c r="C76" i="3"/>
  <c r="I75" i="3"/>
  <c r="C75" i="3"/>
  <c r="I70" i="3"/>
  <c r="C70" i="3"/>
  <c r="I69" i="3"/>
  <c r="C69" i="3"/>
  <c r="I64" i="3"/>
  <c r="I63" i="3"/>
  <c r="C64" i="3"/>
  <c r="C63" i="3"/>
  <c r="C58" i="3"/>
  <c r="C57" i="3"/>
  <c r="I58" i="3"/>
  <c r="I57" i="3"/>
  <c r="I52" i="3"/>
  <c r="I51" i="3"/>
  <c r="C52" i="3"/>
  <c r="C51" i="3"/>
  <c r="C46" i="3"/>
  <c r="C45" i="3"/>
  <c r="I46" i="3"/>
  <c r="I45" i="3"/>
  <c r="I40" i="3"/>
  <c r="I39" i="3"/>
  <c r="C40" i="3"/>
  <c r="C39" i="3"/>
  <c r="C34" i="3"/>
  <c r="C33" i="3"/>
  <c r="I34" i="3"/>
  <c r="I33" i="3"/>
  <c r="I28" i="3"/>
  <c r="I27" i="3"/>
  <c r="C28" i="3"/>
  <c r="C27" i="3"/>
  <c r="C22" i="3"/>
  <c r="C21" i="3"/>
  <c r="I22" i="3"/>
  <c r="I21" i="3"/>
  <c r="I16" i="3"/>
  <c r="I15" i="3"/>
  <c r="C16" i="3"/>
  <c r="C15" i="3"/>
  <c r="C10" i="3"/>
  <c r="C9" i="3"/>
  <c r="I4" i="3"/>
  <c r="I3" i="3"/>
  <c r="C4" i="3"/>
  <c r="C3" i="3"/>
  <c r="A29" i="9" l="1"/>
  <c r="E25" i="9"/>
  <c r="H5" i="3"/>
  <c r="B5" i="3"/>
  <c r="E29" i="9" l="1"/>
  <c r="A33" i="9"/>
  <c r="A49" i="3"/>
  <c r="G34" i="1"/>
  <c r="G63" i="1" s="1"/>
  <c r="G92" i="1" s="1"/>
  <c r="G121" i="1" s="1"/>
  <c r="G150" i="1" s="1"/>
  <c r="G179" i="1" s="1"/>
  <c r="G208" i="1" s="1"/>
  <c r="G237" i="1" s="1"/>
  <c r="G266" i="1" s="1"/>
  <c r="G295" i="1" s="1"/>
  <c r="G324" i="1" s="1"/>
  <c r="G353" i="1" s="1"/>
  <c r="L33" i="1"/>
  <c r="L62" i="1" s="1"/>
  <c r="L91" i="1" s="1"/>
  <c r="L120" i="1" s="1"/>
  <c r="L149" i="1" s="1"/>
  <c r="L178" i="1" s="1"/>
  <c r="L207" i="1" s="1"/>
  <c r="L236" i="1" s="1"/>
  <c r="L265" i="1" s="1"/>
  <c r="L294" i="1" s="1"/>
  <c r="L323" i="1" s="1"/>
  <c r="L352" i="1" s="1"/>
  <c r="E33" i="9" l="1"/>
  <c r="A37" i="9"/>
  <c r="G49" i="3"/>
  <c r="G55" i="3" s="1"/>
  <c r="A55" i="3"/>
  <c r="A61" i="3" s="1"/>
  <c r="G37" i="1"/>
  <c r="G66" i="1" s="1"/>
  <c r="G95" i="1" s="1"/>
  <c r="G124" i="1" s="1"/>
  <c r="G153" i="1" s="1"/>
  <c r="G182" i="1" s="1"/>
  <c r="G211" i="1" s="1"/>
  <c r="G240" i="1" s="1"/>
  <c r="G269" i="1" s="1"/>
  <c r="G298" i="1" s="1"/>
  <c r="G327" i="1" s="1"/>
  <c r="G356" i="1" s="1"/>
  <c r="A40" i="9" l="1"/>
  <c r="E37" i="9"/>
  <c r="A67" i="3"/>
  <c r="A73" i="3" s="1"/>
  <c r="G61" i="3"/>
  <c r="G67" i="3" s="1"/>
  <c r="B62" i="1"/>
  <c r="B91" i="1" s="1"/>
  <c r="B120" i="1" s="1"/>
  <c r="B149" i="1" s="1"/>
  <c r="B178" i="1" s="1"/>
  <c r="B207" i="1" s="1"/>
  <c r="B236" i="1" s="1"/>
  <c r="B265" i="1" s="1"/>
  <c r="B294" i="1" s="1"/>
  <c r="B323" i="1" s="1"/>
  <c r="B352" i="1" s="1"/>
  <c r="E32" i="1"/>
  <c r="E61" i="1" s="1"/>
  <c r="E90" i="1" s="1"/>
  <c r="E119" i="1" s="1"/>
  <c r="E148" i="1" s="1"/>
  <c r="E177" i="1" s="1"/>
  <c r="E206" i="1" s="1"/>
  <c r="E235" i="1" s="1"/>
  <c r="E264" i="1" s="1"/>
  <c r="E293" i="1" s="1"/>
  <c r="E322" i="1" s="1"/>
  <c r="E351" i="1" s="1"/>
  <c r="A44" i="9" l="1"/>
  <c r="E40" i="9"/>
  <c r="G73" i="3"/>
  <c r="G79" i="3" s="1"/>
  <c r="A79" i="3"/>
  <c r="A85" i="3" s="1"/>
  <c r="E44" i="9" l="1"/>
  <c r="A48" i="9"/>
  <c r="G85" i="3"/>
  <c r="G91" i="3" s="1"/>
  <c r="A91" i="3"/>
  <c r="A97" i="3" s="1"/>
  <c r="E48" i="9" l="1"/>
  <c r="A52" i="9"/>
  <c r="G97" i="3"/>
  <c r="G103" i="3" s="1"/>
  <c r="A103" i="3"/>
  <c r="A109" i="3" s="1"/>
  <c r="E52" i="9" l="1"/>
  <c r="A56" i="9"/>
  <c r="A115" i="3"/>
  <c r="A120" i="3" s="1"/>
  <c r="G120" i="3" s="1"/>
  <c r="G109" i="3"/>
  <c r="G115" i="3" s="1"/>
  <c r="E56" i="9" l="1"/>
  <c r="A60" i="9"/>
  <c r="A126" i="3"/>
  <c r="A132" i="3" s="1"/>
  <c r="A138" i="3" s="1"/>
  <c r="G126" i="3"/>
  <c r="G132" i="3" s="1"/>
  <c r="E60" i="9" l="1"/>
  <c r="A64" i="9"/>
  <c r="G138" i="3"/>
  <c r="G144" i="3" s="1"/>
  <c r="A144" i="3"/>
  <c r="A149" i="3" s="1"/>
  <c r="E64" i="9" l="1"/>
  <c r="A68" i="9"/>
  <c r="G149" i="3"/>
  <c r="G155" i="3" s="1"/>
  <c r="A155" i="3"/>
  <c r="A161" i="3" s="1"/>
  <c r="E68" i="9" l="1"/>
  <c r="A72" i="9"/>
  <c r="G161" i="3"/>
  <c r="G167" i="3" s="1"/>
  <c r="A167" i="3"/>
  <c r="A173" i="3" s="1"/>
  <c r="E72" i="9" l="1"/>
  <c r="A76" i="9"/>
  <c r="A178" i="3"/>
  <c r="A184" i="3" s="1"/>
  <c r="G173" i="3"/>
  <c r="G178" i="3" s="1"/>
  <c r="E76" i="9" l="1"/>
  <c r="A79" i="9"/>
  <c r="A190" i="3"/>
  <c r="A196" i="3" s="1"/>
  <c r="G184" i="3"/>
  <c r="G190" i="3" s="1"/>
  <c r="E79" i="9" l="1"/>
  <c r="A83" i="9"/>
  <c r="A202" i="3"/>
  <c r="G196" i="3"/>
  <c r="G202" i="3" s="1"/>
  <c r="E83" i="9" l="1"/>
  <c r="A87" i="9"/>
  <c r="A91" i="9" l="1"/>
  <c r="E87" i="9"/>
  <c r="A95" i="9" l="1"/>
  <c r="E91" i="9"/>
  <c r="E95" i="9" l="1"/>
  <c r="A99" i="9"/>
  <c r="E99" i="9" l="1"/>
  <c r="A103" i="9"/>
  <c r="A107" i="9" l="1"/>
  <c r="E103" i="9"/>
  <c r="E107" i="9" l="1"/>
  <c r="A111" i="9"/>
  <c r="E111" i="9" l="1"/>
  <c r="A115" i="9"/>
  <c r="E115" i="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agtemplate" type="4" refreshedVersion="0" background="1">
    <webPr xml="1" sourceData="1" parsePre="1" consecutive="1" url="\\cbuser1\traneld$\Desktop\tagtemplate.xml" htmlTables="1"/>
  </connection>
</connections>
</file>

<file path=xl/sharedStrings.xml><?xml version="1.0" encoding="utf-8"?>
<sst xmlns="http://schemas.openxmlformats.org/spreadsheetml/2006/main" count="891" uniqueCount="90">
  <si>
    <t>Date:</t>
  </si>
  <si>
    <t>Locks and Tags Installed</t>
  </si>
  <si>
    <t>Tag ID #</t>
  </si>
  <si>
    <t xml:space="preserve">Lock Box # </t>
  </si>
  <si>
    <t>Energy Dissipation Sign Off</t>
  </si>
  <si>
    <t>Comments:</t>
  </si>
  <si>
    <r>
      <t>Location:</t>
    </r>
    <r>
      <rPr>
        <sz val="12"/>
        <color theme="1"/>
        <rFont val="Times New Roman"/>
        <family val="1"/>
      </rPr>
      <t xml:space="preserve"> </t>
    </r>
  </si>
  <si>
    <t>Device Locked Open or Closed</t>
  </si>
  <si>
    <t>Closed</t>
  </si>
  <si>
    <t>UNIT:</t>
  </si>
  <si>
    <t>APPLY</t>
  </si>
  <si>
    <t>VERIFY</t>
  </si>
  <si>
    <t>REMOVE</t>
  </si>
  <si>
    <t>Equipment/System Description:</t>
  </si>
  <si>
    <t>Page #</t>
  </si>
  <si>
    <t>Job Task:</t>
  </si>
  <si>
    <r>
      <rPr>
        <b/>
        <u/>
        <sz val="8"/>
        <color theme="1"/>
        <rFont val="Arial"/>
        <family val="2"/>
      </rPr>
      <t>Energy Type Isolated</t>
    </r>
    <r>
      <rPr>
        <b/>
        <sz val="8"/>
        <color theme="1"/>
        <rFont val="Arial"/>
        <family val="2"/>
      </rPr>
      <t>:</t>
    </r>
  </si>
  <si>
    <t xml:space="preserve">Electrical </t>
  </si>
  <si>
    <t>Mechanical</t>
  </si>
  <si>
    <t>Gravity</t>
  </si>
  <si>
    <t>Pressure</t>
  </si>
  <si>
    <t>Verification Tag</t>
  </si>
  <si>
    <t>Pneumatic</t>
  </si>
  <si>
    <t xml:space="preserve">Chemical </t>
  </si>
  <si>
    <t xml:space="preserve">Thermal </t>
  </si>
  <si>
    <t xml:space="preserve">Nuclear/Radiation  </t>
  </si>
  <si>
    <t>Other:</t>
  </si>
  <si>
    <t>Hydraulic</t>
  </si>
  <si>
    <t>NORM POSITION.</t>
  </si>
  <si>
    <t>Car Seal #</t>
  </si>
  <si>
    <t>(sign/date)</t>
  </si>
  <si>
    <t>Check if dissipation occurred at first break</t>
  </si>
  <si>
    <r>
      <t>E</t>
    </r>
    <r>
      <rPr>
        <b/>
        <sz val="9"/>
        <color theme="1"/>
        <rFont val="Arial"/>
        <family val="2"/>
      </rPr>
      <t>ID Verification Sign Off</t>
    </r>
  </si>
  <si>
    <t>Equipment owner:</t>
  </si>
  <si>
    <t>Employee/Craftperson:</t>
  </si>
  <si>
    <t>Date</t>
  </si>
  <si>
    <t>Unit</t>
  </si>
  <si>
    <t>NO</t>
  </si>
  <si>
    <t>NC</t>
  </si>
  <si>
    <t>Locks/tags Removed
(INITIAL and DATE BELOW)</t>
  </si>
  <si>
    <t xml:space="preserve">Reason: </t>
  </si>
  <si>
    <t>Reason:</t>
  </si>
  <si>
    <t xml:space="preserve">System: </t>
  </si>
  <si>
    <t>DATE</t>
  </si>
  <si>
    <t>MAIN. INIT.</t>
  </si>
  <si>
    <t>Blind #</t>
  </si>
  <si>
    <t>OPER
INIT.</t>
  </si>
  <si>
    <t>Blind Size 
&amp; 
Spec</t>
  </si>
  <si>
    <t>Equipment System:</t>
  </si>
  <si>
    <t>System Description:</t>
  </si>
  <si>
    <t>Removed/Open</t>
  </si>
  <si>
    <t>Energy Dissipation Verified Prior to Blind Removal</t>
  </si>
  <si>
    <t>Installed/Closed</t>
  </si>
  <si>
    <t>Blind Location</t>
  </si>
  <si>
    <t>ALL BLINDS INSTALLED AND REMOVED MUST BE VERIFIED AND BLIND LIST SIGNED BY THE OPERATOR ASSIGNED TO THE JOB</t>
  </si>
  <si>
    <t xml:space="preserve">WORK MAY NOT BEGIN UNTIL THE BLIND LIST IS COMPLETED FOR EACH STAGE OF A JOB.  WHEN JOB IS COMPLETE, FOLLOW </t>
  </si>
  <si>
    <t>ROUTING BELOW.</t>
  </si>
  <si>
    <t>Blind Tag #</t>
  </si>
  <si>
    <t>Flange Size "</t>
  </si>
  <si>
    <t>Flange Rating #'s</t>
  </si>
  <si>
    <t>Equipment Description:</t>
  </si>
  <si>
    <t>LTT Box:</t>
  </si>
  <si>
    <t>Lockout Point</t>
  </si>
  <si>
    <t>N/A</t>
  </si>
  <si>
    <t>LOCK BOX</t>
  </si>
  <si>
    <t>Tag 
Number</t>
  </si>
  <si>
    <t>Lock 
Position</t>
  </si>
  <si>
    <t>Normal
Position</t>
  </si>
  <si>
    <t>Equip #</t>
  </si>
  <si>
    <t>Job Task</t>
  </si>
  <si>
    <t/>
  </si>
  <si>
    <t>Signed By:</t>
  </si>
  <si>
    <t>Description:</t>
  </si>
  <si>
    <r>
      <t xml:space="preserve">Date:
</t>
    </r>
    <r>
      <rPr>
        <b/>
        <sz val="12"/>
        <color theme="1"/>
        <rFont val="Arial Narrow"/>
        <family val="2"/>
      </rPr>
      <t>_____</t>
    </r>
  </si>
  <si>
    <t>Change the Unit, Equipment #, Job Task, Lock Box, and Carseal on the EID List Entry Page.  The only thing you chagne on this page is check boxes.  Changing the other information breaks the link that automates everything else.</t>
  </si>
  <si>
    <t>OPEN</t>
  </si>
  <si>
    <t>CLOSED</t>
  </si>
  <si>
    <t>Comments</t>
  </si>
  <si>
    <t>Steam</t>
  </si>
  <si>
    <t>Equipment</t>
  </si>
  <si>
    <t>Reason</t>
  </si>
  <si>
    <t>Lock Box</t>
  </si>
  <si>
    <t>NA</t>
  </si>
  <si>
    <t>Lockbox</t>
  </si>
  <si>
    <t>Car Seal</t>
  </si>
  <si>
    <t xml:space="preserve"> Equipment/System Description:</t>
  </si>
  <si>
    <t>Batt Limit/System Blind
Yes/No</t>
  </si>
  <si>
    <t>Battery Limit
or System Blind
Yes/No</t>
  </si>
  <si>
    <r>
      <rPr>
        <b/>
        <sz val="14"/>
        <color theme="1"/>
        <rFont val="Calibri"/>
        <family val="2"/>
        <scheme val="minor"/>
      </rPr>
      <t>Instructions</t>
    </r>
    <r>
      <rPr>
        <sz val="11"/>
        <color theme="1"/>
        <rFont val="Calibri"/>
        <family val="2"/>
        <scheme val="minor"/>
      </rPr>
      <t xml:space="preserve">:  Fill out information on Green tabs at bottom of worksheet.  
</t>
    </r>
    <r>
      <rPr>
        <b/>
        <sz val="14"/>
        <color theme="1"/>
        <rFont val="Calibri"/>
        <family val="2"/>
        <scheme val="minor"/>
      </rPr>
      <t>For Blind List:</t>
    </r>
    <r>
      <rPr>
        <sz val="11"/>
        <color theme="1"/>
        <rFont val="Calibri"/>
        <family val="2"/>
        <scheme val="minor"/>
      </rPr>
      <t xml:space="preserve"> Fill out Blind Location, Flange size, Flange Rating and  System Description (at top of page).  As you enter Location information, the sheet will autonumber the Tag#. 
</t>
    </r>
    <r>
      <rPr>
        <b/>
        <sz val="14"/>
        <color theme="1"/>
        <rFont val="Calibri"/>
        <family val="2"/>
        <scheme val="minor"/>
      </rPr>
      <t>To Print:</t>
    </r>
    <r>
      <rPr>
        <b/>
        <sz val="12"/>
        <color theme="1"/>
        <rFont val="Calibri"/>
        <family val="2"/>
        <scheme val="minor"/>
      </rPr>
      <t xml:space="preserve"> </t>
    </r>
    <r>
      <rPr>
        <sz val="12"/>
        <color theme="1"/>
        <rFont val="Calibri"/>
        <family val="2"/>
        <scheme val="minor"/>
      </rPr>
      <t xml:space="preserve">Click Button of what you want printed. 
To print a paper copy of your Blind list, choose from the 1 or 2 page option.
Blind List Tags will print on Avery 5161 label paper. 
</t>
    </r>
    <r>
      <rPr>
        <b/>
        <sz val="14"/>
        <color theme="1"/>
        <rFont val="Calibri"/>
        <family val="2"/>
        <scheme val="minor"/>
      </rPr>
      <t>To Clear Sheet</t>
    </r>
    <r>
      <rPr>
        <sz val="12"/>
        <color theme="1"/>
        <rFont val="Calibri"/>
        <family val="2"/>
        <scheme val="minor"/>
      </rPr>
      <t xml:space="preserve">: Press the CLEAR BLIND LIST button to erase the current sheet. 
*This action cannot be undone. </t>
    </r>
    <r>
      <rPr>
        <sz val="11"/>
        <color theme="1"/>
        <rFont val="Calibri"/>
        <family val="2"/>
        <scheme val="minor"/>
      </rPr>
      <t xml:space="preserve">
</t>
    </r>
  </si>
  <si>
    <r>
      <rPr>
        <b/>
        <sz val="14"/>
        <color theme="1"/>
        <rFont val="Calibri"/>
        <family val="2"/>
        <scheme val="minor"/>
      </rPr>
      <t>Instructions</t>
    </r>
    <r>
      <rPr>
        <sz val="11"/>
        <color theme="1"/>
        <rFont val="Calibri"/>
        <family val="2"/>
        <scheme val="minor"/>
      </rPr>
      <t xml:space="preserve">:  Fill out information on Green tabs at bottom of worksheet.  
</t>
    </r>
    <r>
      <rPr>
        <b/>
        <sz val="14"/>
        <color theme="1"/>
        <rFont val="Calibri"/>
        <family val="2"/>
        <scheme val="minor"/>
      </rPr>
      <t>For EID list:</t>
    </r>
    <r>
      <rPr>
        <sz val="11"/>
        <color theme="1"/>
        <rFont val="Calibri"/>
        <family val="2"/>
        <scheme val="minor"/>
      </rPr>
      <t xml:space="preserve"> Fill out Date/Unit/Lockbox/Carseal/Equip#/JobTask, then LockoutPoints. Select Lock   Position from Dropdown.  </t>
    </r>
    <r>
      <rPr>
        <b/>
        <u/>
        <sz val="11"/>
        <color theme="1"/>
        <rFont val="Calibri"/>
        <family val="2"/>
        <scheme val="minor"/>
      </rPr>
      <t>As you add entries, it will automatically number them</t>
    </r>
    <r>
      <rPr>
        <sz val="11"/>
        <color theme="1"/>
        <rFont val="Calibri"/>
        <family val="2"/>
        <scheme val="minor"/>
      </rPr>
      <t>. *</t>
    </r>
    <r>
      <rPr>
        <i/>
        <sz val="11"/>
        <color theme="1"/>
        <rFont val="Calibri"/>
        <family val="2"/>
        <scheme val="minor"/>
      </rPr>
      <t>Normal Postion Drop Down selection is optional</t>
    </r>
    <r>
      <rPr>
        <sz val="11"/>
        <color theme="1"/>
        <rFont val="Calibri"/>
        <family val="2"/>
        <scheme val="minor"/>
      </rPr>
      <t xml:space="preserve">.  This will transfer all applicable info to EID list and Tags on red tabs. 
</t>
    </r>
    <r>
      <rPr>
        <b/>
        <sz val="14"/>
        <color theme="1"/>
        <rFont val="Calibri"/>
        <family val="2"/>
        <scheme val="minor"/>
      </rPr>
      <t>For Blind List:</t>
    </r>
    <r>
      <rPr>
        <sz val="11"/>
        <color theme="1"/>
        <rFont val="Calibri"/>
        <family val="2"/>
        <scheme val="minor"/>
      </rPr>
      <t xml:space="preserve"> Fill out Blind Location, Flange size, Flange Rating and  System Description (at top of page). 
</t>
    </r>
    <r>
      <rPr>
        <b/>
        <sz val="14"/>
        <color theme="1"/>
        <rFont val="Calibri"/>
        <family val="2"/>
        <scheme val="minor"/>
      </rPr>
      <t>To Save EID &amp; Blind List</t>
    </r>
    <r>
      <rPr>
        <sz val="11"/>
        <color theme="1"/>
        <rFont val="Calibri"/>
        <family val="2"/>
        <scheme val="minor"/>
      </rPr>
      <t xml:space="preserve">: Click on the </t>
    </r>
    <r>
      <rPr>
        <b/>
        <u/>
        <sz val="11"/>
        <color theme="1"/>
        <rFont val="Calibri"/>
        <family val="2"/>
        <scheme val="minor"/>
      </rPr>
      <t>"SAVE EID &amp; BLIND LIST"</t>
    </r>
    <r>
      <rPr>
        <sz val="11"/>
        <color theme="1"/>
        <rFont val="Calibri"/>
        <family val="2"/>
        <scheme val="minor"/>
      </rPr>
      <t xml:space="preserve"> button, this will open the save dialog box and prefill the name with the text from the equipment box followed by </t>
    </r>
    <r>
      <rPr>
        <i/>
        <sz val="11"/>
        <color theme="1"/>
        <rFont val="Calibri"/>
        <family val="2"/>
        <scheme val="minor"/>
      </rPr>
      <t>"EID and Blind List"</t>
    </r>
    <r>
      <rPr>
        <sz val="11"/>
        <color theme="1"/>
        <rFont val="Calibri"/>
        <family val="2"/>
        <scheme val="minor"/>
      </rPr>
      <t xml:space="preserve"> (IE "H101 EID and Blind List) This is the recommended way to save copies of the EID list. If you accidentally save the BLANK EID and Blind List with data, just use the </t>
    </r>
    <r>
      <rPr>
        <b/>
        <u/>
        <sz val="11"/>
        <color theme="1"/>
        <rFont val="Calibri"/>
        <family val="2"/>
        <scheme val="minor"/>
      </rPr>
      <t>"CLEAR DATA LIST"</t>
    </r>
    <r>
      <rPr>
        <sz val="11"/>
        <color theme="1"/>
        <rFont val="Calibri"/>
        <family val="2"/>
        <scheme val="minor"/>
      </rPr>
      <t xml:space="preserve"> button to start with a blank sheet. 
</t>
    </r>
    <r>
      <rPr>
        <b/>
        <sz val="14"/>
        <color theme="1"/>
        <rFont val="Calibri"/>
        <family val="2"/>
        <scheme val="minor"/>
      </rPr>
      <t>To Print:</t>
    </r>
    <r>
      <rPr>
        <b/>
        <sz val="12"/>
        <color theme="1"/>
        <rFont val="Calibri"/>
        <family val="2"/>
        <scheme val="minor"/>
      </rPr>
      <t xml:space="preserve"> </t>
    </r>
    <r>
      <rPr>
        <sz val="12"/>
        <color theme="1"/>
        <rFont val="Calibri"/>
        <family val="2"/>
        <scheme val="minor"/>
      </rPr>
      <t xml:space="preserve">Click Button of what you want printed. 
To </t>
    </r>
    <r>
      <rPr>
        <i/>
        <sz val="12"/>
        <color theme="1"/>
        <rFont val="Calibri"/>
        <family val="2"/>
        <scheme val="minor"/>
      </rPr>
      <t>print the EID list</t>
    </r>
    <r>
      <rPr>
        <sz val="12"/>
        <color theme="1"/>
        <rFont val="Calibri"/>
        <family val="2"/>
        <scheme val="minor"/>
      </rPr>
      <t xml:space="preserve">, choose the </t>
    </r>
    <r>
      <rPr>
        <b/>
        <u/>
        <sz val="12"/>
        <color theme="1"/>
        <rFont val="Calibri"/>
        <family val="2"/>
        <scheme val="minor"/>
      </rPr>
      <t>"Print EID"</t>
    </r>
    <r>
      <rPr>
        <sz val="12"/>
        <color theme="1"/>
        <rFont val="Calibri"/>
        <family val="2"/>
        <scheme val="minor"/>
      </rPr>
      <t xml:space="preserve"> button.
</t>
    </r>
    <r>
      <rPr>
        <i/>
        <sz val="12"/>
        <color theme="1"/>
        <rFont val="Calibri"/>
        <family val="2"/>
        <scheme val="minor"/>
      </rPr>
      <t>To create your danger tag labels</t>
    </r>
    <r>
      <rPr>
        <sz val="12"/>
        <color theme="1"/>
        <rFont val="Calibri"/>
        <family val="2"/>
        <scheme val="minor"/>
      </rPr>
      <t xml:space="preserve">, click on the </t>
    </r>
    <r>
      <rPr>
        <b/>
        <u/>
        <sz val="12"/>
        <color theme="1"/>
        <rFont val="Calibri"/>
        <family val="2"/>
        <scheme val="minor"/>
      </rPr>
      <t>"Print Danger Tags"</t>
    </r>
    <r>
      <rPr>
        <sz val="12"/>
        <color theme="1"/>
        <rFont val="Calibri"/>
        <family val="2"/>
        <scheme val="minor"/>
      </rPr>
      <t xml:space="preserve"> button and it will open your tags in a seperate Word document ready to be printed. </t>
    </r>
    <r>
      <rPr>
        <i/>
        <u/>
        <sz val="12"/>
        <color theme="1"/>
        <rFont val="Calibri"/>
        <family val="2"/>
        <scheme val="minor"/>
      </rPr>
      <t xml:space="preserve">These labels must be loaded </t>
    </r>
    <r>
      <rPr>
        <b/>
        <i/>
        <u/>
        <sz val="12"/>
        <color theme="1"/>
        <rFont val="Calibri"/>
        <family val="2"/>
        <scheme val="minor"/>
      </rPr>
      <t>FACE DOWN</t>
    </r>
    <r>
      <rPr>
        <i/>
        <u/>
        <sz val="12"/>
        <color theme="1"/>
        <rFont val="Calibri"/>
        <family val="2"/>
        <scheme val="minor"/>
      </rPr>
      <t xml:space="preserve"> in the manual feed tray on the side of the printer. </t>
    </r>
    <r>
      <rPr>
        <sz val="12"/>
        <color theme="1"/>
        <rFont val="Calibri"/>
        <family val="2"/>
        <scheme val="minor"/>
      </rPr>
      <t xml:space="preserve">The labels are water/weatherproof. 
</t>
    </r>
    <r>
      <rPr>
        <b/>
        <sz val="14"/>
        <color theme="1"/>
        <rFont val="Calibri"/>
        <family val="2"/>
        <scheme val="minor"/>
      </rPr>
      <t>To Clear Sheet</t>
    </r>
    <r>
      <rPr>
        <sz val="12"/>
        <color theme="1"/>
        <rFont val="Calibri"/>
        <family val="2"/>
        <scheme val="minor"/>
      </rPr>
      <t>: Press the "</t>
    </r>
    <r>
      <rPr>
        <b/>
        <u/>
        <sz val="12"/>
        <color theme="1"/>
        <rFont val="Calibri"/>
        <family val="2"/>
        <scheme val="minor"/>
      </rPr>
      <t>CLEAR DATA LIST"</t>
    </r>
    <r>
      <rPr>
        <sz val="12"/>
        <color theme="1"/>
        <rFont val="Calibri"/>
        <family val="2"/>
        <scheme val="minor"/>
      </rPr>
      <t xml:space="preserve"> button to erase the current sheet. *This action cannot be undone. </t>
    </r>
    <r>
      <rPr>
        <sz val="11"/>
        <color theme="1"/>
        <rFont val="Calibri"/>
        <family val="2"/>
        <scheme val="minor"/>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</si>
</sst>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yy;@"/>
  </numFmts>
  <fonts count="50" x14ac:knownFonts="1">
    <font>
      <sz val="11"/>
      <color theme="1"/>
      <name val="Calibri"/>
      <family val="2"/>
      <scheme val="minor"/>
    </font>
    <font>
      <b/>
      <sz val="12"/>
      <color theme="1"/>
      <name val="Arial"/>
      <family val="2"/>
    </font>
    <font>
      <b/>
      <sz val="11"/>
      <color theme="1"/>
      <name val="Arial"/>
      <family val="2"/>
    </font>
    <font>
      <b/>
      <sz val="10"/>
      <color theme="1"/>
      <name val="Arial"/>
      <family val="2"/>
    </font>
    <font>
      <b/>
      <sz val="10"/>
      <color theme="1"/>
      <name val="Arial Narrow"/>
      <family val="2"/>
    </font>
    <font>
      <b/>
      <sz val="8"/>
      <color theme="1"/>
      <name val="Arial Narrow"/>
      <family val="2"/>
    </font>
    <font>
      <b/>
      <sz val="8"/>
      <color theme="1"/>
      <name val="Arial"/>
      <family val="2"/>
    </font>
    <font>
      <sz val="8"/>
      <color theme="1"/>
      <name val="Arial Narrow"/>
      <family val="2"/>
    </font>
    <font>
      <sz val="8"/>
      <color theme="1"/>
      <name val="Arial"/>
      <family val="2"/>
    </font>
    <font>
      <b/>
      <sz val="9"/>
      <color theme="1"/>
      <name val="Arial"/>
      <family val="2"/>
    </font>
    <font>
      <sz val="12"/>
      <color theme="1"/>
      <name val="Arial Narrow"/>
      <family val="2"/>
    </font>
    <font>
      <sz val="10"/>
      <color theme="1"/>
      <name val="Arial"/>
      <family val="2"/>
    </font>
    <font>
      <b/>
      <sz val="10"/>
      <color theme="1"/>
      <name val="Bradley Hand ITC"/>
      <family val="4"/>
    </font>
    <font>
      <b/>
      <u/>
      <sz val="10"/>
      <color theme="1"/>
      <name val="Bradley Hand ITC"/>
      <family val="4"/>
    </font>
    <font>
      <sz val="12"/>
      <color theme="1"/>
      <name val="Times New Roman"/>
      <family val="1"/>
    </font>
    <font>
      <b/>
      <sz val="20"/>
      <color theme="1"/>
      <name val="Times New Roman"/>
      <family val="1"/>
    </font>
    <font>
      <b/>
      <sz val="18"/>
      <color theme="1"/>
      <name val="Times New Roman"/>
      <family val="1"/>
    </font>
    <font>
      <sz val="8"/>
      <color theme="1"/>
      <name val="Calibri"/>
      <family val="2"/>
      <scheme val="minor"/>
    </font>
    <font>
      <sz val="10"/>
      <color theme="1"/>
      <name val="Calibri"/>
      <family val="2"/>
      <scheme val="minor"/>
    </font>
    <font>
      <b/>
      <sz val="11"/>
      <color theme="1"/>
      <name val="Calibri"/>
      <family val="2"/>
      <scheme val="minor"/>
    </font>
    <font>
      <b/>
      <sz val="18"/>
      <color theme="1"/>
      <name val="Arial"/>
      <family val="2"/>
    </font>
    <font>
      <b/>
      <u/>
      <sz val="8"/>
      <color theme="1"/>
      <name val="Arial"/>
      <family val="2"/>
    </font>
    <font>
      <b/>
      <sz val="12"/>
      <color rgb="FF000000"/>
      <name val="Times New Roman"/>
      <family val="1"/>
    </font>
    <font>
      <sz val="7"/>
      <color theme="1"/>
      <name val="Arial Narrow"/>
      <family val="2"/>
    </font>
    <font>
      <b/>
      <sz val="7"/>
      <color theme="1"/>
      <name val="Arial"/>
      <family val="2"/>
    </font>
    <font>
      <b/>
      <sz val="11"/>
      <color rgb="FF65EB35"/>
      <name val="Calibri"/>
      <family val="2"/>
      <scheme val="minor"/>
    </font>
    <font>
      <b/>
      <sz val="11"/>
      <color rgb="FFFF0000"/>
      <name val="Calibri"/>
      <family val="2"/>
      <scheme val="minor"/>
    </font>
    <font>
      <b/>
      <sz val="14"/>
      <color theme="1"/>
      <name val="Calibri"/>
      <family val="2"/>
      <scheme val="minor"/>
    </font>
    <font>
      <sz val="20"/>
      <color theme="1"/>
      <name val="Calibri"/>
      <family val="2"/>
      <scheme val="minor"/>
    </font>
    <font>
      <sz val="12"/>
      <color theme="1"/>
      <name val="Arial"/>
      <family val="2"/>
    </font>
    <font>
      <b/>
      <sz val="5"/>
      <color theme="0"/>
      <name val="Times New Roman"/>
      <family val="1"/>
    </font>
    <font>
      <b/>
      <sz val="14"/>
      <color theme="1"/>
      <name val="Times New Roman"/>
      <family val="1"/>
    </font>
    <font>
      <b/>
      <sz val="12"/>
      <color theme="1"/>
      <name val="Arial Narrow"/>
      <family val="2"/>
    </font>
    <font>
      <b/>
      <sz val="16"/>
      <color theme="1"/>
      <name val="Calibri"/>
      <family val="2"/>
      <scheme val="minor"/>
    </font>
    <font>
      <b/>
      <sz val="26"/>
      <color theme="1"/>
      <name val="Calibri"/>
      <family val="2"/>
      <scheme val="minor"/>
    </font>
    <font>
      <u/>
      <sz val="11"/>
      <color theme="1"/>
      <name val="Calibri"/>
      <family val="2"/>
      <scheme val="minor"/>
    </font>
    <font>
      <b/>
      <sz val="12"/>
      <color theme="1"/>
      <name val="Calibri"/>
      <family val="2"/>
      <scheme val="minor"/>
    </font>
    <font>
      <sz val="12"/>
      <color theme="1"/>
      <name val="Calibri"/>
      <family val="2"/>
      <scheme val="minor"/>
    </font>
    <font>
      <b/>
      <sz val="24"/>
      <color theme="1"/>
      <name val="Calibri"/>
      <family val="2"/>
      <scheme val="minor"/>
    </font>
    <font>
      <sz val="24"/>
      <color theme="1"/>
      <name val="Calibri"/>
      <family val="2"/>
      <scheme val="minor"/>
    </font>
    <font>
      <b/>
      <sz val="20"/>
      <color theme="1"/>
      <name val="Calibri"/>
      <family val="2"/>
      <scheme val="minor"/>
    </font>
    <font>
      <sz val="11"/>
      <name val="Calibri"/>
      <family val="2"/>
      <scheme val="minor"/>
    </font>
    <font>
      <b/>
      <sz val="10"/>
      <color theme="1"/>
      <name val="Calibri"/>
      <family val="2"/>
      <scheme val="minor"/>
    </font>
    <font>
      <sz val="11"/>
      <color rgb="FF000000"/>
      <name val="Calibri"/>
      <family val="2"/>
    </font>
    <font>
      <i/>
      <sz val="11"/>
      <color theme="1"/>
      <name val="Calibri"/>
      <family val="2"/>
      <scheme val="minor"/>
    </font>
    <font>
      <b/>
      <u/>
      <sz val="11"/>
      <color theme="1"/>
      <name val="Calibri"/>
      <family val="2"/>
      <scheme val="minor"/>
    </font>
    <font>
      <b/>
      <u/>
      <sz val="12"/>
      <color theme="1"/>
      <name val="Calibri"/>
      <family val="2"/>
      <scheme val="minor"/>
    </font>
    <font>
      <i/>
      <sz val="12"/>
      <color theme="1"/>
      <name val="Calibri"/>
      <family val="2"/>
      <scheme val="minor"/>
    </font>
    <font>
      <i/>
      <u/>
      <sz val="12"/>
      <color theme="1"/>
      <name val="Calibri"/>
      <family val="2"/>
      <scheme val="minor"/>
    </font>
    <font>
      <b/>
      <i/>
      <u/>
      <sz val="12"/>
      <color theme="1"/>
      <name val="Calibri"/>
      <family val="2"/>
      <scheme val="minor"/>
    </font>
  </fonts>
  <fills count="9">
    <fill>
      <patternFill patternType="none"/>
    </fill>
    <fill>
      <patternFill patternType="gray125"/>
    </fill>
    <fill>
      <patternFill patternType="solid">
        <fgColor rgb="FF00FF00"/>
        <bgColor indexed="64"/>
      </patternFill>
    </fill>
    <fill>
      <patternFill patternType="solid">
        <fgColor rgb="FFFF0000"/>
        <bgColor indexed="64"/>
      </patternFill>
    </fill>
    <fill>
      <patternFill patternType="solid">
        <fgColor rgb="FFFFFF00"/>
        <bgColor indexed="64"/>
      </patternFill>
    </fill>
    <fill>
      <patternFill patternType="solid">
        <fgColor rgb="FF00B0F0"/>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0" tint="-0.249977111117893"/>
        <bgColor indexed="64"/>
      </patternFill>
    </fill>
  </fills>
  <borders count="3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bottom style="thin">
        <color auto="1"/>
      </bottom>
      <diagonal/>
    </border>
    <border>
      <left/>
      <right/>
      <top style="medium">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style="medium">
        <color indexed="64"/>
      </left>
      <right style="medium">
        <color indexed="64"/>
      </right>
      <top/>
      <bottom style="thin">
        <color indexed="64"/>
      </bottom>
      <diagonal/>
    </border>
    <border>
      <left style="thin">
        <color indexed="64"/>
      </left>
      <right style="thin">
        <color indexed="64"/>
      </right>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bottom/>
      <diagonal/>
    </border>
    <border>
      <left style="medium">
        <color indexed="64"/>
      </left>
      <right style="thin">
        <color indexed="64"/>
      </right>
      <top/>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medium">
        <color indexed="64"/>
      </right>
      <top style="thin">
        <color indexed="64"/>
      </top>
      <bottom/>
      <diagonal/>
    </border>
    <border>
      <left/>
      <right/>
      <top style="medium">
        <color indexed="64"/>
      </top>
      <bottom style="medium">
        <color indexed="64"/>
      </bottom>
      <diagonal/>
    </border>
  </borders>
  <cellStyleXfs count="1">
    <xf numFmtId="0" fontId="0" fillId="0" borderId="0"/>
  </cellStyleXfs>
  <cellXfs count="360">
    <xf numFmtId="0" fontId="0" fillId="0" borderId="0" xfId="0"/>
    <xf numFmtId="0" fontId="0" fillId="0" borderId="0" xfId="0" applyAlignment="1">
      <alignment vertical="top"/>
    </xf>
    <xf numFmtId="0" fontId="4" fillId="0" borderId="0" xfId="0" applyFont="1" applyBorder="1" applyAlignment="1">
      <alignment vertical="center" wrapText="1"/>
    </xf>
    <xf numFmtId="0" fontId="16" fillId="0" borderId="0" xfId="0" applyFont="1" applyAlignment="1"/>
    <xf numFmtId="0" fontId="15" fillId="0" borderId="0" xfId="0" applyFont="1" applyFill="1" applyAlignment="1">
      <alignment horizontal="center" vertical="center"/>
    </xf>
    <xf numFmtId="0" fontId="0" fillId="0" borderId="0" xfId="0" applyAlignment="1"/>
    <xf numFmtId="0" fontId="16" fillId="0" borderId="0" xfId="0" applyFont="1" applyAlignment="1">
      <alignment vertical="center"/>
    </xf>
    <xf numFmtId="0" fontId="0" fillId="0" borderId="0" xfId="0" applyBorder="1"/>
    <xf numFmtId="0" fontId="5" fillId="0" borderId="0" xfId="0" applyFont="1" applyBorder="1" applyAlignment="1">
      <alignment horizontal="center" vertical="center" wrapText="1"/>
    </xf>
    <xf numFmtId="0" fontId="4" fillId="0" borderId="0" xfId="0" applyFont="1" applyBorder="1" applyAlignment="1">
      <alignment vertical="center"/>
    </xf>
    <xf numFmtId="0" fontId="4" fillId="0" borderId="0" xfId="0" applyFont="1" applyBorder="1" applyAlignment="1">
      <alignment horizontal="center" vertical="center"/>
    </xf>
    <xf numFmtId="0" fontId="9" fillId="0" borderId="0" xfId="0" applyFont="1" applyBorder="1" applyAlignment="1">
      <alignment vertical="center"/>
    </xf>
    <xf numFmtId="0" fontId="0" fillId="0" borderId="0" xfId="0" applyFont="1" applyFill="1" applyBorder="1"/>
    <xf numFmtId="0" fontId="17" fillId="0" borderId="0" xfId="0" applyFont="1" applyBorder="1" applyAlignment="1">
      <alignment vertical="center"/>
    </xf>
    <xf numFmtId="0" fontId="6" fillId="0" borderId="0" xfId="0" applyFont="1" applyBorder="1" applyAlignment="1">
      <alignment vertical="center"/>
    </xf>
    <xf numFmtId="0" fontId="3" fillId="0" borderId="0" xfId="0" applyFont="1" applyBorder="1" applyAlignment="1">
      <alignment vertical="center" wrapText="1"/>
    </xf>
    <xf numFmtId="0" fontId="3" fillId="0" borderId="0" xfId="0" applyFont="1" applyAlignment="1">
      <alignment horizontal="right" vertical="center" wrapText="1"/>
    </xf>
    <xf numFmtId="0" fontId="12" fillId="0" borderId="0" xfId="0" applyFont="1" applyAlignment="1">
      <alignment vertical="center" wrapText="1"/>
    </xf>
    <xf numFmtId="0" fontId="3" fillId="0" borderId="0" xfId="0" applyFont="1" applyAlignment="1">
      <alignment horizontal="right" vertical="center"/>
    </xf>
    <xf numFmtId="0" fontId="3" fillId="0" borderId="0" xfId="0" applyFont="1" applyBorder="1" applyAlignment="1">
      <alignment horizontal="right" vertical="center"/>
    </xf>
    <xf numFmtId="0" fontId="3" fillId="0" borderId="0" xfId="0" applyFont="1" applyAlignment="1">
      <alignment vertical="center"/>
    </xf>
    <xf numFmtId="0" fontId="0" fillId="0" borderId="21" xfId="0" applyBorder="1"/>
    <xf numFmtId="0" fontId="19" fillId="0" borderId="0" xfId="0" applyFont="1"/>
    <xf numFmtId="0" fontId="10" fillId="0" borderId="0" xfId="0" applyNumberFormat="1" applyFont="1" applyBorder="1" applyAlignment="1">
      <alignment horizontal="center" vertical="center"/>
    </xf>
    <xf numFmtId="0" fontId="23" fillId="0" borderId="0" xfId="0" applyNumberFormat="1" applyFont="1" applyBorder="1" applyAlignment="1">
      <alignment horizontal="center" vertical="center" wrapText="1"/>
    </xf>
    <xf numFmtId="0" fontId="7" fillId="0" borderId="0" xfId="0" applyNumberFormat="1" applyFont="1" applyBorder="1" applyAlignment="1">
      <alignment horizontal="center" vertical="center" wrapText="1"/>
    </xf>
    <xf numFmtId="0" fontId="10" fillId="0" borderId="0" xfId="0" applyNumberFormat="1" applyFont="1" applyBorder="1" applyAlignment="1">
      <alignment vertical="center"/>
    </xf>
    <xf numFmtId="0" fontId="3" fillId="0" borderId="0" xfId="0" applyFont="1" applyBorder="1" applyAlignment="1">
      <alignment vertical="center"/>
    </xf>
    <xf numFmtId="0" fontId="8" fillId="0" borderId="0" xfId="0" applyFont="1" applyBorder="1" applyAlignment="1">
      <alignment wrapText="1"/>
    </xf>
    <xf numFmtId="0" fontId="0" fillId="0" borderId="0" xfId="0" applyFill="1" applyBorder="1"/>
    <xf numFmtId="0" fontId="0" fillId="0" borderId="0" xfId="0" applyFill="1"/>
    <xf numFmtId="0" fontId="0" fillId="0" borderId="0" xfId="0" applyFill="1" applyBorder="1" applyAlignment="1">
      <alignment horizontal="center"/>
    </xf>
    <xf numFmtId="0" fontId="0" fillId="0" borderId="0" xfId="0" applyAlignment="1">
      <alignment horizontal="center"/>
    </xf>
    <xf numFmtId="0" fontId="29" fillId="0" borderId="22" xfId="0" applyFont="1" applyBorder="1" applyAlignment="1">
      <alignment horizontal="center" vertical="center"/>
    </xf>
    <xf numFmtId="0" fontId="29" fillId="0" borderId="21" xfId="0" applyFont="1" applyBorder="1" applyAlignment="1">
      <alignment horizontal="center" vertical="center"/>
    </xf>
    <xf numFmtId="0" fontId="29" fillId="0" borderId="0" xfId="0" applyFont="1" applyBorder="1" applyAlignment="1">
      <alignment vertical="center"/>
    </xf>
    <xf numFmtId="0" fontId="29" fillId="0" borderId="0" xfId="0" applyFont="1" applyBorder="1" applyAlignment="1">
      <alignment vertical="top" wrapText="1"/>
    </xf>
    <xf numFmtId="0" fontId="29" fillId="0" borderId="0" xfId="0" applyFont="1"/>
    <xf numFmtId="0" fontId="29" fillId="0" borderId="0" xfId="0" applyFont="1" applyAlignment="1"/>
    <xf numFmtId="0" fontId="29" fillId="0" borderId="0" xfId="0" applyFont="1" applyBorder="1"/>
    <xf numFmtId="0" fontId="29" fillId="0" borderId="0" xfId="0" applyFont="1" applyBorder="1" applyAlignment="1">
      <alignment vertical="top"/>
    </xf>
    <xf numFmtId="0" fontId="1" fillId="0" borderId="22" xfId="0" applyFont="1" applyBorder="1" applyAlignment="1">
      <alignment horizontal="center" vertical="top" wrapText="1"/>
    </xf>
    <xf numFmtId="0" fontId="1" fillId="0" borderId="27" xfId="0" applyFont="1" applyBorder="1" applyAlignment="1"/>
    <xf numFmtId="0" fontId="1" fillId="0" borderId="15" xfId="0" applyFont="1" applyBorder="1" applyAlignment="1"/>
    <xf numFmtId="14" fontId="1" fillId="0" borderId="15" xfId="0" applyNumberFormat="1" applyFont="1" applyBorder="1" applyAlignment="1"/>
    <xf numFmtId="0" fontId="1" fillId="0" borderId="21" xfId="0" applyFont="1" applyBorder="1" applyAlignment="1">
      <alignment horizontal="center" vertical="top" wrapText="1"/>
    </xf>
    <xf numFmtId="0" fontId="0" fillId="0" borderId="12" xfId="0" applyBorder="1" applyAlignment="1">
      <alignment horizontal="center"/>
    </xf>
    <xf numFmtId="0" fontId="1" fillId="0" borderId="24" xfId="0" applyFont="1" applyBorder="1" applyAlignment="1">
      <alignment horizontal="center" vertical="top" wrapText="1"/>
    </xf>
    <xf numFmtId="0" fontId="29" fillId="6" borderId="23" xfId="0" applyFont="1" applyFill="1" applyBorder="1" applyAlignment="1">
      <alignment horizontal="center" vertical="center"/>
    </xf>
    <xf numFmtId="0" fontId="29" fillId="0" borderId="28" xfId="0" applyFont="1" applyBorder="1" applyAlignment="1">
      <alignment horizontal="center" vertical="center"/>
    </xf>
    <xf numFmtId="0" fontId="0" fillId="0" borderId="0" xfId="0" applyNumberFormat="1" applyFill="1" applyBorder="1" applyAlignment="1" applyProtection="1">
      <alignment horizontal="center"/>
      <protection locked="0"/>
    </xf>
    <xf numFmtId="0" fontId="28" fillId="0" borderId="0" xfId="0" applyFont="1" applyFill="1" applyBorder="1" applyAlignment="1" applyProtection="1">
      <protection locked="0"/>
    </xf>
    <xf numFmtId="0" fontId="1" fillId="0" borderId="23" xfId="0" applyFont="1" applyBorder="1" applyAlignment="1">
      <alignment horizontal="center" vertical="top" wrapText="1"/>
    </xf>
    <xf numFmtId="0" fontId="0" fillId="0" borderId="0" xfId="0" applyBorder="1" applyAlignment="1"/>
    <xf numFmtId="0" fontId="27" fillId="0" borderId="5" xfId="0" applyFont="1" applyBorder="1" applyAlignment="1">
      <alignment horizontal="left" vertical="center"/>
    </xf>
    <xf numFmtId="0" fontId="9" fillId="0" borderId="0" xfId="0" applyFont="1" applyBorder="1" applyAlignment="1">
      <alignment horizontal="center" vertical="center"/>
    </xf>
    <xf numFmtId="0" fontId="31" fillId="0" borderId="5" xfId="0" applyFont="1" applyBorder="1" applyAlignment="1">
      <alignment horizontal="right" vertical="center"/>
    </xf>
    <xf numFmtId="0" fontId="0" fillId="0" borderId="0" xfId="0" applyAlignment="1">
      <alignment horizontal="right"/>
    </xf>
    <xf numFmtId="0" fontId="0" fillId="0" borderId="0" xfId="0" applyFill="1" applyBorder="1" applyAlignment="1">
      <alignment horizontal="right"/>
    </xf>
    <xf numFmtId="0" fontId="0" fillId="0" borderId="0" xfId="0" applyFill="1" applyAlignment="1">
      <alignment horizontal="right"/>
    </xf>
    <xf numFmtId="0" fontId="0" fillId="0" borderId="0" xfId="0" applyAlignment="1">
      <alignment horizontal="left"/>
    </xf>
    <xf numFmtId="0" fontId="0" fillId="0" borderId="0" xfId="0" applyFill="1" applyBorder="1" applyAlignment="1">
      <alignment horizontal="left"/>
    </xf>
    <xf numFmtId="0" fontId="0" fillId="0" borderId="0" xfId="0" applyFill="1" applyAlignment="1">
      <alignment horizontal="left"/>
    </xf>
    <xf numFmtId="0" fontId="16" fillId="0" borderId="0" xfId="0" applyFont="1" applyAlignment="1">
      <alignment vertical="center"/>
    </xf>
    <xf numFmtId="0" fontId="0" fillId="0" borderId="0" xfId="0" applyAlignment="1"/>
    <xf numFmtId="0" fontId="27" fillId="0" borderId="5" xfId="0" applyFont="1" applyBorder="1" applyAlignment="1">
      <alignment horizontal="left" vertical="center"/>
    </xf>
    <xf numFmtId="0" fontId="15" fillId="0" borderId="0" xfId="0" applyFont="1" applyFill="1" applyAlignment="1">
      <alignment horizontal="center" vertical="center"/>
    </xf>
    <xf numFmtId="0" fontId="0" fillId="0" borderId="0" xfId="0" applyAlignment="1">
      <alignment horizontal="center"/>
    </xf>
    <xf numFmtId="0" fontId="3" fillId="0" borderId="22" xfId="0" applyFont="1" applyBorder="1" applyAlignment="1">
      <alignment vertical="center" wrapText="1"/>
    </xf>
    <xf numFmtId="0" fontId="10" fillId="0" borderId="22" xfId="0" applyNumberFormat="1" applyFont="1" applyBorder="1" applyAlignment="1">
      <alignment horizontal="center" vertical="center"/>
    </xf>
    <xf numFmtId="0" fontId="17" fillId="0" borderId="15" xfId="0" applyFont="1" applyBorder="1" applyAlignment="1">
      <alignment vertical="center"/>
    </xf>
    <xf numFmtId="0" fontId="8" fillId="0" borderId="15" xfId="0" applyFont="1" applyBorder="1" applyAlignment="1">
      <alignment horizontal="center" wrapText="1"/>
    </xf>
    <xf numFmtId="0" fontId="17" fillId="0" borderId="16" xfId="0" applyFont="1" applyBorder="1" applyAlignment="1">
      <alignment vertical="center"/>
    </xf>
    <xf numFmtId="0" fontId="4" fillId="0" borderId="15" xfId="0" applyFont="1" applyBorder="1" applyAlignment="1">
      <alignment horizontal="center" vertical="center"/>
    </xf>
    <xf numFmtId="0" fontId="4" fillId="0" borderId="15" xfId="0" applyFont="1" applyBorder="1" applyAlignment="1">
      <alignment horizontal="center" vertical="center"/>
    </xf>
    <xf numFmtId="0" fontId="5" fillId="0" borderId="24" xfId="0" applyFont="1" applyBorder="1" applyAlignment="1">
      <alignment horizontal="center" vertical="center" wrapText="1"/>
    </xf>
    <xf numFmtId="0" fontId="4" fillId="0" borderId="22" xfId="0" applyFont="1" applyBorder="1" applyAlignment="1">
      <alignment horizontal="center" vertical="center"/>
    </xf>
    <xf numFmtId="0" fontId="4" fillId="0" borderId="15" xfId="0" applyFont="1" applyBorder="1" applyAlignment="1">
      <alignment vertical="center" wrapText="1"/>
    </xf>
    <xf numFmtId="0" fontId="10" fillId="0" borderId="25" xfId="0" applyNumberFormat="1" applyFont="1" applyBorder="1" applyAlignment="1">
      <alignment horizontal="center" vertical="center"/>
    </xf>
    <xf numFmtId="0" fontId="5" fillId="0" borderId="22" xfId="0" applyFont="1" applyBorder="1" applyAlignment="1">
      <alignment horizontal="center" vertical="center" wrapText="1"/>
    </xf>
    <xf numFmtId="0" fontId="30" fillId="0" borderId="0" xfId="0" applyFont="1" applyBorder="1" applyAlignment="1">
      <alignment horizontal="center" vertical="center" textRotation="90" wrapText="1"/>
    </xf>
    <xf numFmtId="0" fontId="4" fillId="0" borderId="13" xfId="0" applyFont="1" applyBorder="1" applyAlignment="1">
      <alignment horizontal="center" vertical="center"/>
    </xf>
    <xf numFmtId="0" fontId="4" fillId="0" borderId="25" xfId="0" applyFont="1" applyBorder="1" applyAlignment="1">
      <alignment horizontal="center" vertical="center"/>
    </xf>
    <xf numFmtId="0" fontId="2" fillId="7" borderId="1" xfId="0" applyFont="1" applyFill="1" applyBorder="1" applyAlignment="1">
      <alignment vertical="center"/>
    </xf>
    <xf numFmtId="0" fontId="1" fillId="7" borderId="2" xfId="0" applyFont="1" applyFill="1" applyBorder="1" applyAlignment="1">
      <alignment vertical="center"/>
    </xf>
    <xf numFmtId="0" fontId="1" fillId="7" borderId="14" xfId="0" applyFont="1" applyFill="1" applyBorder="1" applyAlignment="1">
      <alignment vertical="center"/>
    </xf>
    <xf numFmtId="0" fontId="0" fillId="7" borderId="14" xfId="0" applyFill="1" applyBorder="1"/>
    <xf numFmtId="0" fontId="9" fillId="7" borderId="14" xfId="0" applyFont="1" applyFill="1" applyBorder="1" applyAlignment="1">
      <alignment horizontal="center" vertical="center"/>
    </xf>
    <xf numFmtId="0" fontId="9" fillId="7" borderId="3" xfId="0" applyFont="1" applyFill="1" applyBorder="1" applyAlignment="1">
      <alignment vertical="center"/>
    </xf>
    <xf numFmtId="0" fontId="24" fillId="7" borderId="8" xfId="0" applyFont="1" applyFill="1" applyBorder="1" applyAlignment="1">
      <alignment vertical="center"/>
    </xf>
    <xf numFmtId="0" fontId="6" fillId="7" borderId="0" xfId="0" applyFont="1" applyFill="1" applyBorder="1" applyAlignment="1">
      <alignment vertical="center"/>
    </xf>
    <xf numFmtId="0" fontId="6" fillId="7" borderId="7" xfId="0" applyFont="1" applyFill="1" applyBorder="1" applyAlignment="1">
      <alignment vertical="center"/>
    </xf>
    <xf numFmtId="0" fontId="2" fillId="7" borderId="8" xfId="0" applyFont="1" applyFill="1" applyBorder="1" applyAlignment="1">
      <alignment vertical="center"/>
    </xf>
    <xf numFmtId="0" fontId="1" fillId="7" borderId="0" xfId="0" applyFont="1" applyFill="1" applyBorder="1" applyAlignment="1">
      <alignment vertical="center"/>
    </xf>
    <xf numFmtId="0" fontId="9" fillId="7" borderId="13" xfId="0" applyFont="1" applyFill="1" applyBorder="1" applyAlignment="1">
      <alignment horizontal="center" vertical="center"/>
    </xf>
    <xf numFmtId="0" fontId="3" fillId="7" borderId="7" xfId="0" applyFont="1" applyFill="1" applyBorder="1" applyAlignment="1">
      <alignment vertical="center" wrapText="1"/>
    </xf>
    <xf numFmtId="0" fontId="11" fillId="7" borderId="4" xfId="0" applyFont="1" applyFill="1" applyBorder="1" applyAlignment="1">
      <alignment vertical="center"/>
    </xf>
    <xf numFmtId="0" fontId="11" fillId="7" borderId="5" xfId="0" applyFont="1" applyFill="1" applyBorder="1" applyAlignment="1">
      <alignment vertical="center"/>
    </xf>
    <xf numFmtId="0" fontId="3" fillId="7" borderId="9" xfId="0" applyFont="1" applyFill="1" applyBorder="1" applyAlignment="1">
      <alignment vertical="center" wrapText="1"/>
    </xf>
    <xf numFmtId="0" fontId="9" fillId="0" borderId="0" xfId="0" applyFont="1" applyAlignment="1">
      <alignment vertical="center"/>
    </xf>
    <xf numFmtId="0" fontId="30" fillId="0" borderId="21" xfId="0" applyFont="1" applyBorder="1" applyAlignment="1">
      <alignment horizontal="center" vertical="center" textRotation="90" wrapText="1"/>
    </xf>
    <xf numFmtId="0" fontId="10" fillId="0" borderId="0" xfId="0" applyNumberFormat="1" applyFont="1" applyBorder="1" applyAlignment="1">
      <alignment horizontal="left" vertical="center"/>
    </xf>
    <xf numFmtId="14" fontId="0" fillId="0" borderId="0" xfId="0" applyNumberFormat="1" applyBorder="1"/>
    <xf numFmtId="0" fontId="0" fillId="0" borderId="0" xfId="0" applyBorder="1" applyAlignment="1">
      <alignment horizontal="center"/>
    </xf>
    <xf numFmtId="0" fontId="0" fillId="0" borderId="22" xfId="0" applyBorder="1" applyAlignment="1">
      <alignment horizontal="center"/>
    </xf>
    <xf numFmtId="0" fontId="0" fillId="0" borderId="12" xfId="0" applyFill="1" applyBorder="1"/>
    <xf numFmtId="1" fontId="0" fillId="0" borderId="25" xfId="0" applyNumberFormat="1" applyFill="1" applyBorder="1" applyAlignment="1">
      <alignment horizontal="center"/>
    </xf>
    <xf numFmtId="0" fontId="0" fillId="0" borderId="25" xfId="0" applyNumberFormat="1" applyFill="1" applyBorder="1" applyAlignment="1" applyProtection="1">
      <alignment horizontal="center"/>
      <protection locked="0"/>
    </xf>
    <xf numFmtId="0" fontId="0" fillId="0" borderId="22" xfId="0" applyNumberFormat="1" applyFill="1" applyBorder="1" applyAlignment="1" applyProtection="1">
      <alignment horizontal="center"/>
      <protection locked="0"/>
    </xf>
    <xf numFmtId="0" fontId="0" fillId="0" borderId="22" xfId="0" applyFill="1" applyBorder="1"/>
    <xf numFmtId="0" fontId="27" fillId="0" borderId="10" xfId="0" applyFont="1" applyBorder="1" applyAlignment="1">
      <alignment horizontal="center" vertical="center" wrapText="1"/>
    </xf>
    <xf numFmtId="0" fontId="27" fillId="0" borderId="11" xfId="0" applyFont="1" applyBorder="1" applyAlignment="1">
      <alignment horizontal="center" vertical="center" wrapText="1"/>
    </xf>
    <xf numFmtId="0" fontId="0" fillId="0" borderId="6" xfId="0" applyBorder="1"/>
    <xf numFmtId="0" fontId="0" fillId="0" borderId="0" xfId="0" applyBorder="1" applyAlignment="1">
      <alignment horizontal="right"/>
    </xf>
    <xf numFmtId="0" fontId="0" fillId="0" borderId="0" xfId="0" applyBorder="1" applyAlignment="1">
      <alignment vertical="center"/>
    </xf>
    <xf numFmtId="0" fontId="35" fillId="0" borderId="5" xfId="0" applyFont="1" applyBorder="1" applyAlignment="1">
      <alignment horizontal="left" vertical="center"/>
    </xf>
    <xf numFmtId="14" fontId="0" fillId="0" borderId="38" xfId="0" applyNumberFormat="1" applyBorder="1" applyAlignment="1">
      <alignment horizontal="left" vertical="center"/>
    </xf>
    <xf numFmtId="14" fontId="0" fillId="0" borderId="2" xfId="0" applyNumberFormat="1" applyBorder="1" applyAlignment="1">
      <alignment horizontal="left" vertical="center"/>
    </xf>
    <xf numFmtId="14" fontId="0" fillId="0" borderId="0" xfId="0" applyNumberFormat="1" applyBorder="1" applyAlignment="1">
      <alignment horizontal="left" vertical="center"/>
    </xf>
    <xf numFmtId="0" fontId="0" fillId="0" borderId="5" xfId="0" applyFont="1" applyBorder="1" applyAlignment="1">
      <alignment horizontal="left" vertical="center"/>
    </xf>
    <xf numFmtId="0" fontId="0" fillId="0" borderId="25" xfId="0" applyNumberFormat="1" applyFill="1" applyBorder="1" applyAlignment="1" applyProtection="1">
      <alignment horizontal="left"/>
      <protection locked="0"/>
    </xf>
    <xf numFmtId="0" fontId="4" fillId="0" borderId="13" xfId="0" applyFont="1" applyBorder="1" applyAlignment="1">
      <alignment vertical="center" wrapText="1"/>
    </xf>
    <xf numFmtId="0" fontId="0" fillId="0" borderId="0" xfId="0" applyFill="1" applyBorder="1" applyAlignment="1">
      <alignment vertical="top" wrapText="1"/>
    </xf>
    <xf numFmtId="1" fontId="0" fillId="0" borderId="0" xfId="0" applyNumberFormat="1" applyBorder="1" applyAlignment="1">
      <alignment vertical="center"/>
    </xf>
    <xf numFmtId="0" fontId="0" fillId="0" borderId="0" xfId="0" applyBorder="1" applyAlignment="1">
      <alignment horizontal="right" vertical="center"/>
    </xf>
    <xf numFmtId="0" fontId="0" fillId="0" borderId="0" xfId="0" applyBorder="1" applyAlignment="1">
      <alignment horizontal="left" vertical="center"/>
    </xf>
    <xf numFmtId="0" fontId="0" fillId="0" borderId="0" xfId="0" applyBorder="1" applyAlignment="1">
      <alignment horizontal="left"/>
    </xf>
    <xf numFmtId="0" fontId="0" fillId="0" borderId="12" xfId="0" applyBorder="1"/>
    <xf numFmtId="0" fontId="4" fillId="0" borderId="15" xfId="0" applyFont="1" applyBorder="1" applyAlignment="1">
      <alignment horizontal="center" vertical="center"/>
    </xf>
    <xf numFmtId="0" fontId="0" fillId="0" borderId="22" xfId="0" applyBorder="1"/>
    <xf numFmtId="0" fontId="0" fillId="0" borderId="0" xfId="0" applyBorder="1" applyAlignment="1">
      <alignment vertical="top" wrapText="1"/>
    </xf>
    <xf numFmtId="0" fontId="40" fillId="0" borderId="0" xfId="0" applyFont="1" applyBorder="1" applyAlignment="1">
      <alignment vertical="top" wrapText="1"/>
    </xf>
    <xf numFmtId="0" fontId="0" fillId="0" borderId="0" xfId="0" applyBorder="1" applyAlignment="1">
      <alignment wrapText="1"/>
    </xf>
    <xf numFmtId="0" fontId="0" fillId="0" borderId="19" xfId="0" applyBorder="1" applyAlignment="1">
      <alignment horizontal="center"/>
    </xf>
    <xf numFmtId="0" fontId="0" fillId="0" borderId="21" xfId="0" applyBorder="1" applyAlignment="1">
      <alignment horizontal="center"/>
    </xf>
    <xf numFmtId="0" fontId="18" fillId="0" borderId="22" xfId="0" applyFont="1" applyBorder="1" applyAlignment="1">
      <alignment horizontal="center" vertical="center" wrapText="1"/>
    </xf>
    <xf numFmtId="0" fontId="18" fillId="0" borderId="22" xfId="0" applyFont="1" applyBorder="1" applyAlignment="1">
      <alignment horizontal="center" vertical="center"/>
    </xf>
    <xf numFmtId="164" fontId="18" fillId="0" borderId="22" xfId="0" applyNumberFormat="1" applyFont="1" applyBorder="1" applyAlignment="1">
      <alignment horizontal="center" vertical="center" wrapText="1"/>
    </xf>
    <xf numFmtId="0" fontId="0" fillId="0" borderId="22" xfId="0" applyBorder="1" applyAlignment="1">
      <alignment horizontal="center" vertical="center"/>
    </xf>
    <xf numFmtId="0" fontId="0" fillId="0" borderId="0" xfId="0" applyAlignment="1">
      <alignment horizontal="center" vertical="center"/>
    </xf>
    <xf numFmtId="164" fontId="0" fillId="0" borderId="22" xfId="0" applyNumberFormat="1" applyBorder="1" applyAlignment="1">
      <alignment horizontal="center" vertical="center"/>
    </xf>
    <xf numFmtId="164" fontId="0" fillId="0" borderId="0" xfId="0" applyNumberFormat="1" applyAlignment="1">
      <alignment horizontal="center" vertical="center"/>
    </xf>
    <xf numFmtId="0" fontId="0" fillId="0" borderId="20" xfId="0" applyBorder="1" applyAlignment="1" applyProtection="1">
      <alignment horizontal="center"/>
    </xf>
    <xf numFmtId="0" fontId="0" fillId="0" borderId="0" xfId="0" applyBorder="1" applyAlignment="1" applyProtection="1">
      <alignment horizontal="left"/>
      <protection locked="0"/>
    </xf>
    <xf numFmtId="0" fontId="19" fillId="0" borderId="25" xfId="0" applyFont="1" applyBorder="1" applyAlignment="1" applyProtection="1">
      <alignment horizontal="left"/>
      <protection locked="0"/>
    </xf>
    <xf numFmtId="0" fontId="0" fillId="0" borderId="0" xfId="0" applyAlignment="1" applyProtection="1">
      <alignment horizontal="left"/>
      <protection locked="0"/>
    </xf>
    <xf numFmtId="0" fontId="0" fillId="0" borderId="21" xfId="0" applyBorder="1" applyAlignment="1" applyProtection="1">
      <alignment horizontal="left"/>
      <protection locked="0"/>
    </xf>
    <xf numFmtId="0" fontId="0" fillId="0" borderId="0" xfId="0" applyBorder="1" applyAlignment="1" applyProtection="1">
      <protection locked="0"/>
    </xf>
    <xf numFmtId="0" fontId="19" fillId="0" borderId="22" xfId="0" applyFont="1" applyBorder="1" applyAlignment="1" applyProtection="1">
      <alignment horizontal="left"/>
      <protection locked="0"/>
    </xf>
    <xf numFmtId="0" fontId="25" fillId="0" borderId="22" xfId="0" applyFont="1" applyBorder="1" applyAlignment="1" applyProtection="1">
      <alignment horizontal="left"/>
      <protection locked="0"/>
    </xf>
    <xf numFmtId="0" fontId="26" fillId="0" borderId="22" xfId="0" applyFont="1" applyBorder="1" applyAlignment="1" applyProtection="1">
      <alignment horizontal="left"/>
      <protection locked="0"/>
    </xf>
    <xf numFmtId="0" fontId="0" fillId="0" borderId="23" xfId="0" applyBorder="1" applyAlignment="1" applyProtection="1">
      <alignment horizontal="left"/>
      <protection locked="0"/>
    </xf>
    <xf numFmtId="164" fontId="0" fillId="0" borderId="18" xfId="0" applyNumberFormat="1" applyBorder="1" applyAlignment="1" applyProtection="1">
      <alignment horizontal="left"/>
    </xf>
    <xf numFmtId="0" fontId="0" fillId="0" borderId="21" xfId="0" applyBorder="1" applyAlignment="1" applyProtection="1">
      <alignment horizontal="left"/>
    </xf>
    <xf numFmtId="0" fontId="0" fillId="0" borderId="23" xfId="0" applyBorder="1" applyAlignment="1" applyProtection="1">
      <protection locked="0"/>
    </xf>
    <xf numFmtId="0" fontId="27" fillId="0" borderId="12" xfId="0" applyFont="1" applyBorder="1" applyAlignment="1">
      <alignment horizontal="center" vertical="center" wrapText="1"/>
    </xf>
    <xf numFmtId="0" fontId="0" fillId="0" borderId="0" xfId="0" applyAlignment="1">
      <alignment horizontal="center"/>
    </xf>
    <xf numFmtId="0" fontId="4" fillId="0" borderId="0" xfId="0" applyFont="1" applyBorder="1" applyAlignment="1" applyProtection="1">
      <alignment horizontal="center" vertical="center"/>
      <protection locked="0"/>
    </xf>
    <xf numFmtId="0" fontId="0" fillId="0" borderId="0" xfId="0" applyAlignment="1">
      <alignment horizontal="center"/>
    </xf>
    <xf numFmtId="0" fontId="2" fillId="0" borderId="24" xfId="0" applyFont="1" applyBorder="1" applyAlignment="1">
      <alignment horizontal="center" vertical="center" wrapText="1"/>
    </xf>
    <xf numFmtId="0" fontId="1" fillId="0" borderId="24" xfId="0" applyFont="1" applyBorder="1" applyAlignment="1">
      <alignment horizontal="right" vertical="center"/>
    </xf>
    <xf numFmtId="164" fontId="19" fillId="0" borderId="22" xfId="0" applyNumberFormat="1" applyFont="1" applyBorder="1" applyAlignment="1">
      <alignment horizontal="right" vertical="center"/>
    </xf>
    <xf numFmtId="0" fontId="1" fillId="0" borderId="15" xfId="0" applyFont="1" applyBorder="1" applyAlignment="1">
      <alignment horizontal="left"/>
    </xf>
    <xf numFmtId="0" fontId="29" fillId="0" borderId="0" xfId="0" applyFont="1" applyBorder="1" applyAlignment="1">
      <alignment horizontal="center" vertical="center"/>
    </xf>
    <xf numFmtId="0" fontId="0" fillId="0" borderId="0" xfId="0" applyAlignment="1">
      <alignment horizontal="center"/>
    </xf>
    <xf numFmtId="12" fontId="0" fillId="0" borderId="22" xfId="0" applyNumberFormat="1" applyFill="1" applyBorder="1" applyAlignment="1" applyProtection="1">
      <alignment horizontal="center"/>
      <protection locked="0"/>
    </xf>
    <xf numFmtId="0" fontId="0" fillId="0" borderId="12" xfId="0" applyBorder="1" applyAlignment="1">
      <alignment horizontal="center" wrapText="1"/>
    </xf>
    <xf numFmtId="1" fontId="29" fillId="0" borderId="22" xfId="0" applyNumberFormat="1" applyFont="1" applyBorder="1" applyAlignment="1">
      <alignment horizontal="left" vertical="center"/>
    </xf>
    <xf numFmtId="1" fontId="29" fillId="0" borderId="25" xfId="0" applyNumberFormat="1" applyFont="1" applyBorder="1" applyAlignment="1">
      <alignment horizontal="left" vertical="center"/>
    </xf>
    <xf numFmtId="0" fontId="29" fillId="0" borderId="28" xfId="0" applyFont="1" applyBorder="1" applyAlignment="1">
      <alignment vertical="center"/>
    </xf>
    <xf numFmtId="0" fontId="29" fillId="0" borderId="28" xfId="0" applyFont="1" applyBorder="1" applyAlignment="1"/>
    <xf numFmtId="0" fontId="29" fillId="0" borderId="20" xfId="0" applyFont="1" applyBorder="1" applyAlignment="1">
      <alignment vertical="center"/>
    </xf>
    <xf numFmtId="0" fontId="1" fillId="0" borderId="22" xfId="0" applyFont="1" applyBorder="1" applyAlignment="1">
      <alignment horizontal="center" vertical="top"/>
    </xf>
    <xf numFmtId="0" fontId="9" fillId="0" borderId="22" xfId="0" applyFont="1" applyBorder="1" applyAlignment="1">
      <alignment horizontal="center" vertical="top" wrapText="1"/>
    </xf>
    <xf numFmtId="0" fontId="29" fillId="0" borderId="0" xfId="0" applyFont="1" applyBorder="1" applyAlignment="1">
      <alignment horizontal="center" vertical="top"/>
    </xf>
    <xf numFmtId="0" fontId="29" fillId="0" borderId="0" xfId="0" applyFont="1" applyAlignment="1">
      <alignment horizontal="center"/>
    </xf>
    <xf numFmtId="0" fontId="29" fillId="0" borderId="25" xfId="0" applyFont="1" applyBorder="1" applyAlignment="1">
      <alignment horizontal="center" vertical="center"/>
    </xf>
    <xf numFmtId="0" fontId="1" fillId="0" borderId="28" xfId="0" applyFont="1" applyBorder="1" applyAlignment="1">
      <alignment horizontal="left" vertical="center"/>
    </xf>
    <xf numFmtId="164" fontId="19" fillId="0" borderId="22" xfId="0" applyNumberFormat="1" applyFont="1" applyBorder="1" applyAlignment="1">
      <alignment horizontal="center" vertical="center"/>
    </xf>
    <xf numFmtId="0" fontId="0" fillId="0" borderId="0" xfId="0" applyFill="1" applyBorder="1" applyAlignment="1">
      <alignment vertical="top" wrapText="1"/>
    </xf>
    <xf numFmtId="0" fontId="0" fillId="0" borderId="0" xfId="0" applyFill="1" applyBorder="1" applyAlignment="1">
      <alignment vertical="top" wrapText="1"/>
    </xf>
    <xf numFmtId="0" fontId="0" fillId="0" borderId="17" xfId="0" applyBorder="1" applyAlignment="1" applyProtection="1">
      <alignment horizontal="center"/>
    </xf>
    <xf numFmtId="0" fontId="0" fillId="0" borderId="18" xfId="0" applyBorder="1" applyAlignment="1">
      <alignment horizontal="center"/>
    </xf>
    <xf numFmtId="0" fontId="0" fillId="0" borderId="0" xfId="0" applyBorder="1" applyAlignment="1" applyProtection="1">
      <alignment horizontal="center"/>
    </xf>
    <xf numFmtId="0" fontId="0" fillId="0" borderId="27" xfId="0" applyBorder="1" applyAlignment="1" applyProtection="1">
      <alignment horizontal="center"/>
    </xf>
    <xf numFmtId="0" fontId="0" fillId="0" borderId="27" xfId="0" applyBorder="1" applyAlignment="1">
      <alignment horizontal="center"/>
    </xf>
    <xf numFmtId="0" fontId="4" fillId="0" borderId="22" xfId="0" applyFont="1" applyBorder="1" applyAlignment="1">
      <alignment horizontal="center" vertical="center"/>
    </xf>
    <xf numFmtId="0" fontId="27" fillId="0" borderId="12" xfId="0" applyFont="1" applyBorder="1" applyAlignment="1">
      <alignment horizontal="center" vertical="center"/>
    </xf>
    <xf numFmtId="0" fontId="34" fillId="0" borderId="10" xfId="0" applyFont="1" applyBorder="1" applyAlignment="1">
      <alignment horizontal="left"/>
    </xf>
    <xf numFmtId="0" fontId="34" fillId="0" borderId="38" xfId="0" applyFont="1" applyBorder="1" applyAlignment="1">
      <alignment horizontal="left"/>
    </xf>
    <xf numFmtId="0" fontId="34" fillId="0" borderId="11" xfId="0" applyFont="1" applyBorder="1" applyAlignment="1">
      <alignment horizontal="left"/>
    </xf>
    <xf numFmtId="0" fontId="41" fillId="0" borderId="21" xfId="0" applyFont="1" applyBorder="1" applyAlignment="1" applyProtection="1">
      <alignment horizontal="left" vertical="top"/>
      <protection locked="0"/>
    </xf>
    <xf numFmtId="0" fontId="41" fillId="0" borderId="22" xfId="0" applyFont="1" applyBorder="1" applyAlignment="1" applyProtection="1">
      <alignment horizontal="left" vertical="top"/>
      <protection locked="0"/>
    </xf>
    <xf numFmtId="0" fontId="0" fillId="0" borderId="1" xfId="0" applyFill="1" applyBorder="1" applyAlignment="1">
      <alignment horizontal="left" vertical="top" wrapText="1"/>
    </xf>
    <xf numFmtId="0" fontId="0" fillId="0" borderId="2" xfId="0" applyFill="1" applyBorder="1" applyAlignment="1">
      <alignment horizontal="left" vertical="top" wrapText="1"/>
    </xf>
    <xf numFmtId="0" fontId="0" fillId="0" borderId="3" xfId="0" applyFill="1" applyBorder="1" applyAlignment="1">
      <alignment horizontal="left" vertical="top" wrapText="1"/>
    </xf>
    <xf numFmtId="0" fontId="0" fillId="0" borderId="8" xfId="0" applyFill="1" applyBorder="1" applyAlignment="1">
      <alignment horizontal="left" vertical="top" wrapText="1"/>
    </xf>
    <xf numFmtId="0" fontId="0" fillId="0" borderId="0" xfId="0" applyFill="1" applyBorder="1" applyAlignment="1">
      <alignment horizontal="left" vertical="top" wrapText="1"/>
    </xf>
    <xf numFmtId="0" fontId="0" fillId="0" borderId="7" xfId="0" applyFill="1" applyBorder="1" applyAlignment="1">
      <alignment horizontal="left" vertical="top" wrapText="1"/>
    </xf>
    <xf numFmtId="0" fontId="0" fillId="0" borderId="4" xfId="0" applyFill="1" applyBorder="1" applyAlignment="1">
      <alignment horizontal="left" vertical="top" wrapText="1"/>
    </xf>
    <xf numFmtId="0" fontId="0" fillId="0" borderId="5" xfId="0" applyFill="1" applyBorder="1" applyAlignment="1">
      <alignment horizontal="left" vertical="top" wrapText="1"/>
    </xf>
    <xf numFmtId="0" fontId="0" fillId="0" borderId="9" xfId="0" applyFill="1" applyBorder="1" applyAlignment="1">
      <alignment horizontal="left" vertical="top" wrapText="1"/>
    </xf>
    <xf numFmtId="0" fontId="27" fillId="0" borderId="1" xfId="0" applyFont="1" applyBorder="1" applyAlignment="1">
      <alignment horizontal="center"/>
    </xf>
    <xf numFmtId="0" fontId="27" fillId="0" borderId="3" xfId="0" applyFont="1" applyBorder="1" applyAlignment="1">
      <alignment horizontal="center"/>
    </xf>
    <xf numFmtId="0" fontId="27" fillId="0" borderId="4" xfId="0" applyFont="1" applyBorder="1" applyAlignment="1">
      <alignment horizontal="center"/>
    </xf>
    <xf numFmtId="0" fontId="27" fillId="0" borderId="9" xfId="0" applyFont="1" applyBorder="1" applyAlignment="1">
      <alignment horizontal="center"/>
    </xf>
    <xf numFmtId="0" fontId="27" fillId="0" borderId="1" xfId="0" applyFont="1" applyBorder="1" applyAlignment="1">
      <alignment horizontal="left"/>
    </xf>
    <xf numFmtId="0" fontId="27" fillId="0" borderId="2" xfId="0" applyFont="1" applyBorder="1" applyAlignment="1">
      <alignment horizontal="left"/>
    </xf>
    <xf numFmtId="0" fontId="27" fillId="0" borderId="3" xfId="0" applyFont="1" applyBorder="1" applyAlignment="1">
      <alignment horizontal="left"/>
    </xf>
    <xf numFmtId="0" fontId="27" fillId="0" borderId="4" xfId="0" applyFont="1" applyBorder="1" applyAlignment="1">
      <alignment horizontal="left"/>
    </xf>
    <xf numFmtId="0" fontId="27" fillId="0" borderId="5" xfId="0" applyFont="1" applyBorder="1" applyAlignment="1">
      <alignment horizontal="left"/>
    </xf>
    <xf numFmtId="0" fontId="27" fillId="0" borderId="9" xfId="0" applyFont="1" applyBorder="1" applyAlignment="1">
      <alignment horizontal="left"/>
    </xf>
    <xf numFmtId="0" fontId="33" fillId="0" borderId="10" xfId="0" applyFont="1" applyBorder="1" applyAlignment="1">
      <alignment horizontal="left"/>
    </xf>
    <xf numFmtId="0" fontId="33" fillId="0" borderId="38" xfId="0" applyFont="1" applyBorder="1" applyAlignment="1">
      <alignment horizontal="left"/>
    </xf>
    <xf numFmtId="0" fontId="33" fillId="0" borderId="11" xfId="0" applyFont="1" applyBorder="1" applyAlignment="1">
      <alignment horizontal="left"/>
    </xf>
    <xf numFmtId="0" fontId="10" fillId="0" borderId="28" xfId="0" applyNumberFormat="1" applyFont="1" applyBorder="1" applyAlignment="1">
      <alignment horizontal="left" vertical="center" indent="1"/>
    </xf>
    <xf numFmtId="0" fontId="10" fillId="0" borderId="15" xfId="0" applyNumberFormat="1" applyFont="1" applyBorder="1" applyAlignment="1">
      <alignment horizontal="left" vertical="center" indent="1"/>
    </xf>
    <xf numFmtId="0" fontId="4" fillId="0" borderId="28" xfId="0" applyFont="1" applyBorder="1" applyAlignment="1">
      <alignment horizontal="center" vertical="center"/>
    </xf>
    <xf numFmtId="0" fontId="4" fillId="0" borderId="21" xfId="0" applyFont="1" applyBorder="1" applyAlignment="1">
      <alignment horizontal="center" vertical="center"/>
    </xf>
    <xf numFmtId="0" fontId="4" fillId="0" borderId="15" xfId="0" applyFont="1" applyBorder="1" applyAlignment="1">
      <alignment horizontal="center" vertical="center"/>
    </xf>
    <xf numFmtId="0" fontId="4" fillId="0" borderId="20" xfId="0" applyFont="1" applyBorder="1" applyAlignment="1">
      <alignment horizontal="center" vertical="center"/>
    </xf>
    <xf numFmtId="0" fontId="4" fillId="0" borderId="19" xfId="0" applyFont="1" applyBorder="1" applyAlignment="1">
      <alignment horizontal="center" vertical="center"/>
    </xf>
    <xf numFmtId="0" fontId="4" fillId="0" borderId="13" xfId="0" applyFont="1" applyBorder="1" applyAlignment="1">
      <alignment horizontal="center" vertical="center" wrapText="1"/>
    </xf>
    <xf numFmtId="0" fontId="4" fillId="0" borderId="19"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21" xfId="0" applyFont="1" applyBorder="1" applyAlignment="1">
      <alignment horizontal="center" vertical="center" wrapText="1"/>
    </xf>
    <xf numFmtId="0" fontId="6" fillId="8" borderId="26" xfId="0" applyFont="1" applyFill="1" applyBorder="1" applyAlignment="1">
      <alignment horizontal="center" vertical="center" wrapText="1"/>
    </xf>
    <xf numFmtId="0" fontId="6" fillId="8" borderId="27" xfId="0" applyFont="1" applyFill="1" applyBorder="1" applyAlignment="1">
      <alignment horizontal="center" vertical="center" wrapText="1"/>
    </xf>
    <xf numFmtId="0" fontId="6" fillId="8" borderId="23" xfId="0" applyFont="1" applyFill="1" applyBorder="1" applyAlignment="1">
      <alignment horizontal="center" vertical="center" wrapText="1"/>
    </xf>
    <xf numFmtId="0" fontId="6" fillId="8" borderId="20" xfId="0" applyFont="1" applyFill="1" applyBorder="1" applyAlignment="1">
      <alignment horizontal="center" vertical="center" wrapText="1"/>
    </xf>
    <xf numFmtId="0" fontId="6" fillId="8" borderId="13" xfId="0" applyFont="1" applyFill="1" applyBorder="1" applyAlignment="1">
      <alignment horizontal="center" vertical="center" wrapText="1"/>
    </xf>
    <xf numFmtId="0" fontId="6" fillId="8" borderId="19" xfId="0" applyFont="1" applyFill="1" applyBorder="1" applyAlignment="1">
      <alignment horizontal="center" vertical="center" wrapText="1"/>
    </xf>
    <xf numFmtId="0" fontId="6" fillId="0" borderId="23" xfId="0" applyFont="1" applyBorder="1" applyAlignment="1">
      <alignment horizontal="center" vertical="center" wrapText="1"/>
    </xf>
    <xf numFmtId="0" fontId="6" fillId="0" borderId="18" xfId="0" applyFont="1" applyBorder="1" applyAlignment="1">
      <alignment horizontal="center" vertical="center" wrapText="1"/>
    </xf>
    <xf numFmtId="0" fontId="6" fillId="0" borderId="30" xfId="0" applyFont="1" applyBorder="1" applyAlignment="1">
      <alignment horizontal="center" vertical="center" wrapText="1"/>
    </xf>
    <xf numFmtId="0" fontId="6" fillId="0" borderId="25" xfId="0" applyFont="1" applyBorder="1" applyAlignment="1">
      <alignment horizontal="center" vertical="center" wrapText="1"/>
    </xf>
    <xf numFmtId="0" fontId="6" fillId="0" borderId="26" xfId="0" applyFont="1" applyBorder="1" applyAlignment="1">
      <alignment horizontal="center" vertical="center" wrapText="1"/>
    </xf>
    <xf numFmtId="0" fontId="6" fillId="0" borderId="27" xfId="0" applyFont="1" applyBorder="1" applyAlignment="1">
      <alignment horizontal="center" vertical="center" wrapText="1"/>
    </xf>
    <xf numFmtId="0" fontId="6" fillId="0" borderId="17" xfId="0" applyFont="1" applyBorder="1" applyAlignment="1">
      <alignment horizontal="center" vertical="center" wrapText="1"/>
    </xf>
    <xf numFmtId="0" fontId="6" fillId="0" borderId="0" xfId="0" applyFont="1" applyBorder="1" applyAlignment="1">
      <alignment horizontal="center" vertical="center" wrapText="1"/>
    </xf>
    <xf numFmtId="0" fontId="6" fillId="0" borderId="20" xfId="0" applyFont="1" applyBorder="1" applyAlignment="1">
      <alignment horizontal="center" vertical="center" wrapText="1"/>
    </xf>
    <xf numFmtId="0" fontId="6" fillId="0" borderId="13" xfId="0" applyFont="1" applyBorder="1" applyAlignment="1">
      <alignment horizontal="center" vertical="center" wrapText="1"/>
    </xf>
    <xf numFmtId="0" fontId="6" fillId="0" borderId="19" xfId="0" applyFont="1" applyBorder="1" applyAlignment="1">
      <alignment horizontal="center" vertical="center" wrapText="1"/>
    </xf>
    <xf numFmtId="0" fontId="4" fillId="0" borderId="20" xfId="0" applyFont="1" applyBorder="1" applyAlignment="1">
      <alignment horizontal="center" vertical="center" wrapText="1"/>
    </xf>
    <xf numFmtId="0" fontId="22" fillId="0" borderId="0" xfId="0" applyFont="1" applyBorder="1" applyAlignment="1">
      <alignment horizontal="center" vertical="center" wrapText="1"/>
    </xf>
    <xf numFmtId="0" fontId="5" fillId="0" borderId="28" xfId="0" applyFont="1" applyBorder="1" applyAlignment="1">
      <alignment horizontal="center" vertical="center" wrapText="1"/>
    </xf>
    <xf numFmtId="0" fontId="5" fillId="0" borderId="21" xfId="0" applyFont="1" applyBorder="1" applyAlignment="1">
      <alignment horizontal="center" vertical="center" wrapText="1"/>
    </xf>
    <xf numFmtId="0" fontId="10" fillId="0" borderId="22" xfId="0" applyNumberFormat="1" applyFont="1" applyBorder="1" applyAlignment="1">
      <alignment horizontal="left" vertical="center" indent="1"/>
    </xf>
    <xf numFmtId="0" fontId="4" fillId="0" borderId="22" xfId="0" applyFont="1" applyBorder="1" applyAlignment="1">
      <alignment horizontal="center" vertical="center"/>
    </xf>
    <xf numFmtId="0" fontId="19" fillId="0" borderId="28" xfId="0" applyFont="1" applyBorder="1" applyAlignment="1">
      <alignment horizontal="left" vertical="center" wrapText="1"/>
    </xf>
    <xf numFmtId="0" fontId="19" fillId="0" borderId="21" xfId="0" applyFont="1" applyBorder="1" applyAlignment="1">
      <alignment horizontal="left" vertical="center" wrapText="1"/>
    </xf>
    <xf numFmtId="0" fontId="2" fillId="0" borderId="28" xfId="0" applyFont="1" applyBorder="1" applyAlignment="1">
      <alignment horizontal="left" vertical="center" wrapText="1"/>
    </xf>
    <xf numFmtId="0" fontId="2" fillId="0" borderId="15" xfId="0" applyFont="1" applyBorder="1" applyAlignment="1">
      <alignment horizontal="left" vertical="center" wrapText="1"/>
    </xf>
    <xf numFmtId="0" fontId="20" fillId="4" borderId="31" xfId="0" applyFont="1" applyFill="1" applyBorder="1" applyAlignment="1">
      <alignment horizontal="center" vertical="center"/>
    </xf>
    <xf numFmtId="0" fontId="20" fillId="4" borderId="32" xfId="0" applyFont="1" applyFill="1" applyBorder="1" applyAlignment="1">
      <alignment horizontal="center" vertical="center"/>
    </xf>
    <xf numFmtId="0" fontId="20" fillId="4" borderId="33" xfId="0" applyFont="1" applyFill="1" applyBorder="1" applyAlignment="1">
      <alignment horizontal="center" vertical="center"/>
    </xf>
    <xf numFmtId="0" fontId="20" fillId="4" borderId="34" xfId="0" applyFont="1" applyFill="1" applyBorder="1" applyAlignment="1">
      <alignment horizontal="center" vertical="center"/>
    </xf>
    <xf numFmtId="0" fontId="20" fillId="4" borderId="35" xfId="0" applyFont="1" applyFill="1" applyBorder="1" applyAlignment="1">
      <alignment horizontal="center" vertical="center"/>
    </xf>
    <xf numFmtId="0" fontId="20" fillId="4" borderId="36" xfId="0" applyFont="1" applyFill="1" applyBorder="1" applyAlignment="1">
      <alignment horizontal="center" vertical="center"/>
    </xf>
    <xf numFmtId="0" fontId="20" fillId="5" borderId="31" xfId="0" applyFont="1" applyFill="1" applyBorder="1" applyAlignment="1">
      <alignment horizontal="center" vertical="center"/>
    </xf>
    <xf numFmtId="0" fontId="20" fillId="5" borderId="37" xfId="0" applyFont="1" applyFill="1" applyBorder="1" applyAlignment="1">
      <alignment horizontal="center" vertical="center"/>
    </xf>
    <xf numFmtId="0" fontId="20" fillId="5" borderId="32" xfId="0" applyFont="1" applyFill="1" applyBorder="1" applyAlignment="1">
      <alignment horizontal="center" vertical="center"/>
    </xf>
    <xf numFmtId="0" fontId="20" fillId="5" borderId="33" xfId="0" applyFont="1" applyFill="1" applyBorder="1" applyAlignment="1">
      <alignment horizontal="center" vertical="center"/>
    </xf>
    <xf numFmtId="0" fontId="20" fillId="5" borderId="6" xfId="0" applyFont="1" applyFill="1" applyBorder="1" applyAlignment="1">
      <alignment horizontal="center" vertical="center"/>
    </xf>
    <xf numFmtId="0" fontId="20" fillId="5" borderId="34" xfId="0" applyFont="1" applyFill="1" applyBorder="1" applyAlignment="1">
      <alignment horizontal="center" vertical="center"/>
    </xf>
    <xf numFmtId="0" fontId="20" fillId="5" borderId="35" xfId="0" applyFont="1" applyFill="1" applyBorder="1" applyAlignment="1">
      <alignment horizontal="center" vertical="center"/>
    </xf>
    <xf numFmtId="0" fontId="20" fillId="5" borderId="29" xfId="0" applyFont="1" applyFill="1" applyBorder="1" applyAlignment="1">
      <alignment horizontal="center" vertical="center"/>
    </xf>
    <xf numFmtId="0" fontId="20" fillId="5" borderId="36" xfId="0" applyFont="1" applyFill="1" applyBorder="1" applyAlignment="1">
      <alignment horizontal="center" vertical="center"/>
    </xf>
    <xf numFmtId="0" fontId="20" fillId="2" borderId="31" xfId="0" applyFont="1" applyFill="1" applyBorder="1" applyAlignment="1">
      <alignment horizontal="center" vertical="center"/>
    </xf>
    <xf numFmtId="0" fontId="20" fillId="2" borderId="32" xfId="0" applyFont="1" applyFill="1" applyBorder="1" applyAlignment="1">
      <alignment horizontal="center" vertical="center"/>
    </xf>
    <xf numFmtId="0" fontId="20" fillId="2" borderId="33" xfId="0" applyFont="1" applyFill="1" applyBorder="1" applyAlignment="1">
      <alignment horizontal="center" vertical="center"/>
    </xf>
    <xf numFmtId="0" fontId="20" fillId="2" borderId="34" xfId="0" applyFont="1" applyFill="1" applyBorder="1" applyAlignment="1">
      <alignment horizontal="center" vertical="center"/>
    </xf>
    <xf numFmtId="0" fontId="20" fillId="2" borderId="35" xfId="0" applyFont="1" applyFill="1" applyBorder="1" applyAlignment="1">
      <alignment horizontal="center" vertical="center"/>
    </xf>
    <xf numFmtId="0" fontId="20" fillId="2" borderId="36" xfId="0" applyFont="1" applyFill="1" applyBorder="1" applyAlignment="1">
      <alignment horizontal="center" vertical="center"/>
    </xf>
    <xf numFmtId="0" fontId="42" fillId="0" borderId="0" xfId="0" applyFont="1" applyBorder="1" applyAlignment="1">
      <alignment horizontal="left" vertical="center" wrapText="1"/>
    </xf>
    <xf numFmtId="0" fontId="2" fillId="0" borderId="0" xfId="0" applyFont="1" applyBorder="1" applyAlignment="1">
      <alignment horizontal="left" vertical="center"/>
    </xf>
    <xf numFmtId="0" fontId="42" fillId="0" borderId="28" xfId="0" applyFont="1" applyBorder="1" applyAlignment="1">
      <alignment horizontal="center" vertical="center" wrapText="1"/>
    </xf>
    <xf numFmtId="0" fontId="42" fillId="0" borderId="15" xfId="0" applyFont="1" applyBorder="1" applyAlignment="1">
      <alignment horizontal="center" vertical="center" wrapText="1"/>
    </xf>
    <xf numFmtId="0" fontId="3" fillId="0" borderId="15" xfId="0" applyFont="1" applyBorder="1" applyAlignment="1">
      <alignment horizontal="center" vertical="center"/>
    </xf>
    <xf numFmtId="0" fontId="3" fillId="0" borderId="21" xfId="0" applyFont="1" applyBorder="1" applyAlignment="1">
      <alignment horizontal="center" vertical="center"/>
    </xf>
    <xf numFmtId="0" fontId="6" fillId="7" borderId="26" xfId="0" applyFont="1" applyFill="1" applyBorder="1" applyAlignment="1">
      <alignment horizontal="center" vertical="center" wrapText="1"/>
    </xf>
    <xf numFmtId="0" fontId="6" fillId="7" borderId="27" xfId="0" applyFont="1" applyFill="1" applyBorder="1" applyAlignment="1">
      <alignment horizontal="center" vertical="center" wrapText="1"/>
    </xf>
    <xf numFmtId="0" fontId="6" fillId="7" borderId="23" xfId="0" applyFont="1" applyFill="1" applyBorder="1" applyAlignment="1">
      <alignment horizontal="center" vertical="center" wrapText="1"/>
    </xf>
    <xf numFmtId="0" fontId="6" fillId="7" borderId="20" xfId="0" applyFont="1" applyFill="1" applyBorder="1" applyAlignment="1">
      <alignment horizontal="center" vertical="center" wrapText="1"/>
    </xf>
    <xf numFmtId="0" fontId="6" fillId="7" borderId="13" xfId="0" applyFont="1" applyFill="1" applyBorder="1" applyAlignment="1">
      <alignment horizontal="center" vertical="center" wrapText="1"/>
    </xf>
    <xf numFmtId="0" fontId="6" fillId="7" borderId="19" xfId="0" applyFont="1" applyFill="1" applyBorder="1" applyAlignment="1">
      <alignment horizontal="center" vertical="center" wrapText="1"/>
    </xf>
    <xf numFmtId="0" fontId="6" fillId="0" borderId="24" xfId="0" applyFont="1" applyBorder="1" applyAlignment="1">
      <alignment horizontal="center" vertical="center" wrapText="1"/>
    </xf>
    <xf numFmtId="0" fontId="4" fillId="0" borderId="28" xfId="0" applyFont="1" applyBorder="1" applyAlignment="1">
      <alignment horizontal="center" vertical="center" wrapText="1"/>
    </xf>
    <xf numFmtId="0" fontId="20" fillId="2" borderId="26" xfId="0" applyFont="1" applyFill="1" applyBorder="1" applyAlignment="1">
      <alignment horizontal="center" vertical="center"/>
    </xf>
    <xf numFmtId="0" fontId="20" fillId="2" borderId="23" xfId="0" applyFont="1" applyFill="1" applyBorder="1" applyAlignment="1">
      <alignment horizontal="center" vertical="center"/>
    </xf>
    <xf numFmtId="0" fontId="20" fillId="2" borderId="17" xfId="0" applyFont="1" applyFill="1" applyBorder="1" applyAlignment="1">
      <alignment horizontal="center" vertical="center"/>
    </xf>
    <xf numFmtId="0" fontId="20" fillId="2" borderId="18" xfId="0" applyFont="1" applyFill="1" applyBorder="1" applyAlignment="1">
      <alignment horizontal="center" vertical="center"/>
    </xf>
    <xf numFmtId="0" fontId="20" fillId="2" borderId="20" xfId="0" applyFont="1" applyFill="1" applyBorder="1" applyAlignment="1">
      <alignment horizontal="center" vertical="center"/>
    </xf>
    <xf numFmtId="0" fontId="20" fillId="2" borderId="19" xfId="0" applyFont="1" applyFill="1" applyBorder="1" applyAlignment="1">
      <alignment horizontal="center" vertical="center"/>
    </xf>
    <xf numFmtId="0" fontId="38" fillId="0" borderId="0" xfId="0" applyFont="1" applyBorder="1" applyAlignment="1">
      <alignment horizontal="center" wrapText="1"/>
    </xf>
    <xf numFmtId="0" fontId="39" fillId="0" borderId="0" xfId="0" applyFont="1" applyBorder="1" applyAlignment="1">
      <alignment horizontal="center" wrapText="1"/>
    </xf>
    <xf numFmtId="0" fontId="9" fillId="0" borderId="0" xfId="0" applyFont="1" applyAlignment="1">
      <alignment horizontal="center" vertical="center"/>
    </xf>
    <xf numFmtId="0" fontId="12" fillId="0" borderId="13" xfId="0" applyFont="1" applyBorder="1" applyAlignment="1">
      <alignment horizontal="center" vertical="center" wrapText="1"/>
    </xf>
    <xf numFmtId="0" fontId="3" fillId="0" borderId="13" xfId="0" applyFont="1" applyBorder="1" applyAlignment="1">
      <alignment horizontal="center" vertical="center"/>
    </xf>
    <xf numFmtId="0" fontId="13" fillId="0" borderId="13" xfId="0" applyFont="1" applyBorder="1" applyAlignment="1">
      <alignment horizontal="center" vertical="center" wrapText="1"/>
    </xf>
    <xf numFmtId="0" fontId="3" fillId="0" borderId="0" xfId="0" applyFont="1" applyBorder="1" applyAlignment="1">
      <alignment horizontal="center" vertical="center" wrapText="1"/>
    </xf>
    <xf numFmtId="0" fontId="1" fillId="7" borderId="14" xfId="0" applyFont="1" applyFill="1" applyBorder="1" applyAlignment="1">
      <alignment horizontal="center" vertical="center"/>
    </xf>
    <xf numFmtId="0" fontId="9" fillId="7" borderId="14" xfId="0" applyFont="1" applyFill="1" applyBorder="1" applyAlignment="1">
      <alignment horizontal="center" vertical="center"/>
    </xf>
    <xf numFmtId="0" fontId="2" fillId="7" borderId="2" xfId="0" applyFont="1" applyFill="1" applyBorder="1" applyAlignment="1">
      <alignment horizontal="center" vertical="center"/>
    </xf>
    <xf numFmtId="0" fontId="6" fillId="7" borderId="14" xfId="0" applyFont="1" applyFill="1" applyBorder="1" applyAlignment="1">
      <alignment horizontal="center" vertical="center"/>
    </xf>
    <xf numFmtId="0" fontId="1" fillId="0" borderId="0" xfId="0" applyFont="1" applyBorder="1" applyAlignment="1">
      <alignment horizontal="left" vertical="center" wrapText="1"/>
    </xf>
    <xf numFmtId="0" fontId="1" fillId="0" borderId="0" xfId="0" applyFont="1" applyBorder="1" applyAlignment="1">
      <alignment horizontal="center" vertical="top" wrapText="1"/>
    </xf>
    <xf numFmtId="0" fontId="6" fillId="7" borderId="13" xfId="0" applyFont="1" applyFill="1" applyBorder="1" applyAlignment="1">
      <alignment horizontal="center" vertical="center"/>
    </xf>
    <xf numFmtId="0" fontId="3" fillId="7" borderId="5" xfId="0" applyFont="1" applyFill="1" applyBorder="1" applyAlignment="1">
      <alignment horizontal="center" vertical="center" wrapText="1"/>
    </xf>
    <xf numFmtId="0" fontId="3" fillId="0" borderId="0" xfId="0" applyFont="1" applyAlignment="1">
      <alignment horizontal="left" vertical="center" wrapText="1"/>
    </xf>
    <xf numFmtId="0" fontId="3" fillId="0" borderId="0" xfId="0" applyFont="1" applyAlignment="1">
      <alignment horizontal="center" vertical="center"/>
    </xf>
    <xf numFmtId="0" fontId="6" fillId="0" borderId="0" xfId="0" applyFont="1" applyBorder="1" applyAlignment="1">
      <alignment horizontal="left" vertical="center" wrapText="1"/>
    </xf>
    <xf numFmtId="0" fontId="18" fillId="0" borderId="15" xfId="0" applyFont="1" applyBorder="1" applyAlignment="1">
      <alignment horizontal="center" vertical="center"/>
    </xf>
    <xf numFmtId="0" fontId="4" fillId="0" borderId="0" xfId="0" applyFont="1" applyBorder="1" applyAlignment="1">
      <alignment horizontal="center" vertical="center" wrapText="1"/>
    </xf>
    <xf numFmtId="0" fontId="42" fillId="0" borderId="0" xfId="0" applyFont="1" applyBorder="1" applyAlignment="1">
      <alignment horizontal="center" vertical="center" wrapText="1"/>
    </xf>
    <xf numFmtId="0" fontId="22" fillId="0" borderId="28" xfId="0" applyFont="1" applyBorder="1" applyAlignment="1">
      <alignment horizontal="center" vertical="center" wrapText="1"/>
    </xf>
    <xf numFmtId="0" fontId="22" fillId="0" borderId="15" xfId="0" applyFont="1" applyBorder="1" applyAlignment="1">
      <alignment horizontal="center" vertical="center" wrapText="1"/>
    </xf>
    <xf numFmtId="0" fontId="5" fillId="0" borderId="0" xfId="0" applyFont="1" applyBorder="1" applyAlignment="1">
      <alignment horizontal="center" vertical="center" wrapText="1"/>
    </xf>
    <xf numFmtId="0" fontId="8" fillId="0" borderId="0" xfId="0" applyFont="1" applyBorder="1" applyAlignment="1">
      <alignment horizontal="center" wrapText="1"/>
    </xf>
    <xf numFmtId="0" fontId="42" fillId="0" borderId="15" xfId="0" applyFont="1" applyBorder="1" applyAlignment="1">
      <alignment horizontal="left" vertical="center"/>
    </xf>
    <xf numFmtId="0" fontId="42" fillId="0" borderId="21" xfId="0" applyFont="1" applyBorder="1" applyAlignment="1">
      <alignment horizontal="left" vertical="center"/>
    </xf>
    <xf numFmtId="0" fontId="19" fillId="0" borderId="30" xfId="0" applyFont="1" applyBorder="1" applyAlignment="1">
      <alignment horizontal="center" vertical="top"/>
    </xf>
    <xf numFmtId="0" fontId="19" fillId="0" borderId="25" xfId="0" applyFont="1" applyBorder="1" applyAlignment="1">
      <alignment horizontal="center" vertical="top"/>
    </xf>
    <xf numFmtId="0" fontId="1" fillId="7" borderId="13" xfId="0" applyFont="1" applyFill="1" applyBorder="1" applyAlignment="1">
      <alignment horizontal="center" vertical="center"/>
    </xf>
    <xf numFmtId="0" fontId="9" fillId="7" borderId="13" xfId="0" applyFont="1" applyFill="1" applyBorder="1" applyAlignment="1">
      <alignment horizontal="center" vertical="center"/>
    </xf>
    <xf numFmtId="0" fontId="2" fillId="7" borderId="0" xfId="0" applyFont="1" applyFill="1" applyBorder="1" applyAlignment="1">
      <alignment horizontal="center" vertical="center"/>
    </xf>
    <xf numFmtId="0" fontId="16" fillId="0" borderId="0" xfId="0" applyFont="1" applyAlignment="1">
      <alignment horizontal="left" vertical="center"/>
    </xf>
    <xf numFmtId="164" fontId="27" fillId="0" borderId="5" xfId="0" applyNumberFormat="1" applyFont="1" applyBorder="1" applyAlignment="1">
      <alignment horizontal="center" vertical="center"/>
    </xf>
    <xf numFmtId="0" fontId="27" fillId="0" borderId="0" xfId="0" applyFont="1" applyAlignment="1">
      <alignment horizontal="left"/>
    </xf>
    <xf numFmtId="0" fontId="15" fillId="3" borderId="0" xfId="0" applyFont="1" applyFill="1" applyAlignment="1">
      <alignment horizontal="center" vertical="center"/>
    </xf>
    <xf numFmtId="0" fontId="16" fillId="0" borderId="0" xfId="0" applyFont="1" applyAlignment="1">
      <alignment horizontal="center" vertical="center"/>
    </xf>
    <xf numFmtId="0" fontId="27" fillId="0" borderId="0" xfId="0" applyFont="1" applyAlignment="1">
      <alignment vertical="center" wrapText="1"/>
    </xf>
    <xf numFmtId="0" fontId="16" fillId="0" borderId="0" xfId="0" applyFont="1" applyAlignment="1">
      <alignment vertical="center"/>
    </xf>
    <xf numFmtId="0" fontId="0" fillId="0" borderId="0" xfId="0" applyAlignment="1"/>
    <xf numFmtId="0" fontId="42" fillId="0" borderId="0" xfId="0" applyFont="1" applyAlignment="1">
      <alignment vertical="center" wrapText="1"/>
    </xf>
    <xf numFmtId="0" fontId="0" fillId="0" borderId="0" xfId="0" applyAlignment="1">
      <alignment horizontal="center"/>
    </xf>
    <xf numFmtId="0" fontId="1" fillId="0" borderId="25" xfId="0" applyFont="1" applyBorder="1" applyAlignment="1">
      <alignment horizontal="center" vertical="top" wrapText="1"/>
    </xf>
    <xf numFmtId="0" fontId="1" fillId="0" borderId="22" xfId="0" applyFont="1" applyBorder="1" applyAlignment="1">
      <alignment horizontal="center" vertical="top" wrapText="1"/>
    </xf>
    <xf numFmtId="0" fontId="29" fillId="6" borderId="28" xfId="0" applyFont="1" applyFill="1" applyBorder="1" applyAlignment="1">
      <alignment horizontal="center" vertical="center"/>
    </xf>
    <xf numFmtId="0" fontId="29" fillId="6" borderId="15" xfId="0" applyFont="1" applyFill="1" applyBorder="1" applyAlignment="1">
      <alignment horizontal="center" vertical="center"/>
    </xf>
    <xf numFmtId="0" fontId="29" fillId="6" borderId="27" xfId="0" applyFont="1" applyFill="1" applyBorder="1" applyAlignment="1">
      <alignment horizontal="center" vertical="center"/>
    </xf>
    <xf numFmtId="0" fontId="29" fillId="0" borderId="0" xfId="0" applyFont="1" applyBorder="1" applyAlignment="1">
      <alignment horizontal="center" vertical="center"/>
    </xf>
    <xf numFmtId="0" fontId="29" fillId="0" borderId="28" xfId="0" applyFont="1" applyBorder="1" applyAlignment="1">
      <alignment horizontal="center" vertical="center"/>
    </xf>
    <xf numFmtId="0" fontId="29" fillId="0" borderId="21" xfId="0" applyFont="1" applyBorder="1" applyAlignment="1">
      <alignment horizontal="center" vertical="center"/>
    </xf>
    <xf numFmtId="0" fontId="1" fillId="0" borderId="15" xfId="0" applyFont="1" applyBorder="1" applyAlignment="1">
      <alignment horizontal="center" vertical="top" wrapText="1"/>
    </xf>
    <xf numFmtId="0" fontId="1" fillId="0" borderId="19" xfId="0" applyFont="1" applyBorder="1" applyAlignment="1">
      <alignment horizontal="center" vertical="top" wrapText="1"/>
    </xf>
    <xf numFmtId="0" fontId="1" fillId="0" borderId="28" xfId="0" applyFont="1" applyBorder="1" applyAlignment="1">
      <alignment horizontal="center" vertical="top" wrapText="1"/>
    </xf>
    <xf numFmtId="0" fontId="1" fillId="0" borderId="21" xfId="0" applyFont="1" applyBorder="1" applyAlignment="1">
      <alignment horizontal="center" vertical="top" wrapText="1"/>
    </xf>
    <xf numFmtId="0" fontId="29" fillId="0" borderId="0" xfId="0" applyFont="1" applyBorder="1" applyAlignment="1">
      <alignment horizontal="left" vertical="top" wrapText="1"/>
    </xf>
    <xf numFmtId="0" fontId="29" fillId="0" borderId="0" xfId="0" applyFont="1" applyBorder="1" applyAlignment="1">
      <alignment horizontal="left"/>
    </xf>
    <xf numFmtId="0" fontId="1" fillId="0" borderId="15" xfId="0" applyFont="1" applyBorder="1" applyAlignment="1">
      <alignment horizontal="center" vertical="center"/>
    </xf>
    <xf numFmtId="0" fontId="1" fillId="0" borderId="21" xfId="0" applyFont="1" applyBorder="1" applyAlignment="1">
      <alignment horizontal="center" vertical="center"/>
    </xf>
    <xf numFmtId="0" fontId="1" fillId="0" borderId="15" xfId="0" applyFont="1" applyBorder="1" applyAlignment="1">
      <alignment horizontal="left" vertical="center"/>
    </xf>
    <xf numFmtId="0" fontId="1" fillId="0" borderId="21" xfId="0" applyFont="1" applyBorder="1" applyAlignment="1">
      <alignment horizontal="left" vertical="center"/>
    </xf>
    <xf numFmtId="0" fontId="1" fillId="0" borderId="28" xfId="0" applyFont="1" applyBorder="1" applyAlignment="1">
      <alignment horizontal="center" vertical="top"/>
    </xf>
    <xf numFmtId="0" fontId="1" fillId="0" borderId="21" xfId="0" applyFont="1" applyBorder="1" applyAlignment="1">
      <alignment horizontal="center" vertical="top"/>
    </xf>
    <xf numFmtId="0" fontId="1" fillId="0" borderId="26" xfId="0" applyFont="1" applyBorder="1" applyAlignment="1">
      <alignment horizontal="center" vertical="top" wrapText="1"/>
    </xf>
    <xf numFmtId="0" fontId="1" fillId="0" borderId="23" xfId="0" applyFont="1" applyBorder="1" applyAlignment="1">
      <alignment horizontal="center" vertical="top" wrapText="1"/>
    </xf>
    <xf numFmtId="0" fontId="1" fillId="0" borderId="28" xfId="0" applyFont="1" applyBorder="1" applyAlignment="1">
      <alignment horizontal="left" vertical="center"/>
    </xf>
    <xf numFmtId="0" fontId="29" fillId="6" borderId="26" xfId="0" applyFont="1" applyFill="1" applyBorder="1" applyAlignment="1">
      <alignment horizontal="center" vertical="center"/>
    </xf>
  </cellXfs>
  <cellStyles count="1">
    <cellStyle name="Normal" xfId="0" builtinId="0"/>
  </cellStyles>
  <dxfs count="210">
    <dxf>
      <font>
        <color rgb="FF00B050"/>
      </font>
    </dxf>
    <dxf>
      <font>
        <color rgb="FFFF0000"/>
      </font>
    </dxf>
    <dxf>
      <font>
        <color rgb="FF00B050"/>
      </font>
    </dxf>
    <dxf>
      <font>
        <color rgb="FFFF0000"/>
      </font>
    </dxf>
    <dxf>
      <font>
        <color rgb="FF00B050"/>
      </font>
    </dxf>
    <dxf>
      <font>
        <color rgb="FFFF0000"/>
      </font>
    </dxf>
    <dxf>
      <font>
        <b/>
        <i val="0"/>
      </font>
      <fill>
        <patternFill>
          <bgColor rgb="FF00B050"/>
        </patternFill>
      </fill>
    </dxf>
    <dxf>
      <font>
        <b/>
        <i val="0"/>
      </font>
      <fill>
        <patternFill>
          <bgColor rgb="FF00B050"/>
        </patternFill>
      </fill>
    </dxf>
    <dxf>
      <font>
        <b/>
        <i val="0"/>
      </font>
      <fill>
        <patternFill>
          <bgColor rgb="FF00B050"/>
        </patternFill>
      </fill>
    </dxf>
    <dxf>
      <font>
        <b/>
        <i val="0"/>
      </font>
      <fill>
        <patternFill>
          <bgColor rgb="FF00B050"/>
        </patternFill>
      </fill>
    </dxf>
    <dxf>
      <font>
        <b/>
        <i val="0"/>
      </font>
      <fill>
        <patternFill>
          <bgColor rgb="FF00B050"/>
        </patternFill>
      </fill>
    </dxf>
    <dxf>
      <font>
        <b/>
        <i val="0"/>
      </font>
      <fill>
        <patternFill>
          <bgColor rgb="FF00B050"/>
        </patternFill>
      </fill>
    </dxf>
    <dxf>
      <font>
        <b/>
        <i val="0"/>
      </font>
      <fill>
        <patternFill>
          <bgColor rgb="FF00B050"/>
        </patternFill>
      </fill>
    </dxf>
    <dxf>
      <font>
        <b/>
        <i val="0"/>
      </font>
      <fill>
        <patternFill>
          <bgColor rgb="FF00B050"/>
        </patternFill>
      </fill>
    </dxf>
    <dxf>
      <font>
        <b/>
        <i val="0"/>
      </font>
      <fill>
        <patternFill>
          <bgColor rgb="FF00B050"/>
        </patternFill>
      </fill>
    </dxf>
    <dxf>
      <font>
        <b/>
        <i val="0"/>
      </font>
      <fill>
        <patternFill>
          <bgColor rgb="FF00B050"/>
        </patternFill>
      </fill>
    </dxf>
    <dxf>
      <font>
        <b/>
        <i val="0"/>
      </font>
      <fill>
        <patternFill>
          <bgColor rgb="FF00B050"/>
        </patternFill>
      </fill>
    </dxf>
    <dxf>
      <font>
        <b/>
        <i val="0"/>
      </font>
      <fill>
        <patternFill>
          <bgColor rgb="FF00B050"/>
        </patternFill>
      </fill>
    </dxf>
    <dxf>
      <font>
        <b/>
        <i val="0"/>
      </font>
      <fill>
        <patternFill>
          <bgColor rgb="FF00B050"/>
        </patternFill>
      </fill>
    </dxf>
    <dxf>
      <font>
        <b/>
        <i val="0"/>
      </font>
      <fill>
        <patternFill>
          <bgColor rgb="FF00B050"/>
        </patternFill>
      </fill>
    </dxf>
    <dxf>
      <font>
        <b/>
        <i val="0"/>
      </font>
      <fill>
        <patternFill>
          <bgColor rgb="FF00B050"/>
        </patternFill>
      </fill>
    </dxf>
    <dxf>
      <font>
        <b/>
        <i val="0"/>
      </font>
      <fill>
        <patternFill>
          <bgColor rgb="FF00B050"/>
        </patternFill>
      </fill>
    </dxf>
    <dxf>
      <font>
        <b/>
        <i val="0"/>
      </font>
      <fill>
        <patternFill>
          <bgColor rgb="FF00B050"/>
        </patternFill>
      </fill>
    </dxf>
    <dxf>
      <font>
        <b/>
        <i val="0"/>
      </font>
      <fill>
        <patternFill>
          <bgColor rgb="FF00B050"/>
        </patternFill>
      </fill>
    </dxf>
    <dxf>
      <font>
        <b/>
        <i val="0"/>
      </font>
      <fill>
        <patternFill>
          <bgColor rgb="FF00B050"/>
        </patternFill>
      </fill>
    </dxf>
    <dxf>
      <font>
        <b/>
        <i val="0"/>
      </font>
      <fill>
        <patternFill>
          <bgColor rgb="FF00B05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FF0000"/>
        </patternFill>
      </fill>
    </dxf>
    <dxf>
      <font>
        <b/>
        <i val="0"/>
      </font>
      <fill>
        <patternFill>
          <bgColor rgb="FF00B05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FF0000"/>
        </patternFill>
      </fill>
    </dxf>
    <dxf>
      <font>
        <b/>
        <i val="0"/>
      </font>
      <fill>
        <patternFill>
          <bgColor rgb="FF00B050"/>
        </patternFill>
      </fill>
    </dxf>
    <dxf>
      <font>
        <b/>
        <i val="0"/>
      </font>
      <fill>
        <patternFill>
          <bgColor rgb="FF00B050"/>
        </patternFill>
      </fill>
    </dxf>
    <dxf>
      <font>
        <b/>
        <i val="0"/>
      </font>
      <fill>
        <patternFill>
          <bgColor rgb="FFFF0000"/>
        </patternFill>
      </fill>
    </dxf>
    <dxf>
      <font>
        <b/>
        <i val="0"/>
      </font>
      <fill>
        <patternFill>
          <bgColor rgb="FFFF0000"/>
        </patternFill>
      </fill>
    </dxf>
    <dxf>
      <font>
        <b/>
        <i val="0"/>
      </font>
      <fill>
        <patternFill>
          <bgColor rgb="FF00B05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FF0000"/>
        </patternFill>
      </fill>
    </dxf>
    <dxf>
      <font>
        <b/>
        <i val="0"/>
      </font>
      <fill>
        <patternFill>
          <bgColor rgb="FF00B050"/>
        </patternFill>
      </fill>
    </dxf>
    <dxf>
      <font>
        <b/>
        <i val="0"/>
      </font>
      <fill>
        <patternFill>
          <bgColor rgb="FF00B050"/>
        </patternFill>
      </fill>
    </dxf>
    <dxf>
      <font>
        <b/>
        <i val="0"/>
      </font>
      <fill>
        <patternFill>
          <bgColor rgb="FFFF0000"/>
        </patternFill>
      </fill>
    </dxf>
    <dxf>
      <font>
        <b/>
        <i val="0"/>
      </font>
      <fill>
        <patternFill>
          <bgColor rgb="FFFF0000"/>
        </patternFill>
      </fill>
    </dxf>
    <dxf>
      <font>
        <b/>
        <i val="0"/>
      </font>
      <fill>
        <patternFill>
          <bgColor rgb="FF00B05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FF0000"/>
        </patternFill>
      </fill>
    </dxf>
    <dxf>
      <font>
        <b/>
        <i val="0"/>
      </font>
      <fill>
        <patternFill>
          <bgColor rgb="FF00B05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FF0000"/>
        </patternFill>
      </fill>
    </dxf>
    <dxf>
      <font>
        <b/>
        <i val="0"/>
      </font>
      <fill>
        <patternFill>
          <bgColor rgb="FF00B050"/>
        </patternFill>
      </fill>
    </dxf>
    <dxf>
      <font>
        <b/>
        <i val="0"/>
      </font>
      <fill>
        <patternFill>
          <bgColor rgb="FF00B050"/>
        </patternFill>
      </fill>
    </dxf>
    <dxf>
      <font>
        <b/>
        <i val="0"/>
      </font>
      <fill>
        <patternFill>
          <bgColor rgb="FFFF0000"/>
        </patternFill>
      </fill>
    </dxf>
    <dxf>
      <font>
        <b/>
        <i val="0"/>
      </font>
      <fill>
        <patternFill>
          <bgColor rgb="FFFF0000"/>
        </patternFill>
      </fill>
    </dxf>
    <dxf>
      <font>
        <b/>
        <i val="0"/>
      </font>
      <fill>
        <patternFill>
          <bgColor rgb="FF00B05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FF0000"/>
        </patternFill>
      </fill>
    </dxf>
    <dxf>
      <font>
        <b/>
        <i val="0"/>
      </font>
      <fill>
        <patternFill>
          <bgColor rgb="FF00B05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FF0000"/>
        </patternFill>
      </fill>
    </dxf>
    <dxf>
      <font>
        <b/>
        <i val="0"/>
      </font>
      <fill>
        <patternFill>
          <bgColor rgb="FF00B050"/>
        </patternFill>
      </fill>
    </dxf>
    <dxf>
      <font>
        <b/>
        <i val="0"/>
        <color rgb="FF46DA5F"/>
      </font>
    </dxf>
    <dxf>
      <font>
        <b/>
        <i val="0"/>
        <color rgb="FFFF0000"/>
      </font>
    </dxf>
    <dxf>
      <font>
        <b/>
        <i val="0"/>
        <color rgb="FF46DA5F"/>
      </font>
    </dxf>
    <dxf>
      <font>
        <b/>
        <i val="0"/>
        <color rgb="FFFF0000"/>
      </font>
    </dxf>
    <dxf>
      <font>
        <b/>
        <i val="0"/>
        <color rgb="FF46DA5F"/>
      </font>
    </dxf>
    <dxf>
      <font>
        <b/>
        <i val="0"/>
        <color rgb="FFFF0000"/>
      </font>
    </dxf>
    <dxf>
      <font>
        <b/>
        <i val="0"/>
      </font>
    </dxf>
    <dxf>
      <font>
        <b/>
        <i val="0"/>
      </font>
    </dxf>
    <dxf>
      <font>
        <b/>
        <i val="0"/>
        <color rgb="FF46DA5F"/>
      </font>
    </dxf>
    <dxf>
      <font>
        <b/>
        <i val="0"/>
        <color rgb="FFFF0000"/>
      </font>
    </dxf>
    <dxf>
      <font>
        <b/>
        <i val="0"/>
        <color rgb="FF46DA5F"/>
      </font>
    </dxf>
    <dxf>
      <font>
        <b/>
        <i val="0"/>
        <color rgb="FFFF0000"/>
      </font>
    </dxf>
    <dxf>
      <font>
        <b/>
        <i val="0"/>
        <color rgb="FF46DA5F"/>
      </font>
    </dxf>
    <dxf>
      <font>
        <b/>
        <i val="0"/>
        <color rgb="FFFF0000"/>
      </font>
    </dxf>
    <dxf>
      <font>
        <b/>
        <i val="0"/>
        <color rgb="FF46DA5F"/>
      </font>
    </dxf>
    <dxf>
      <font>
        <b/>
        <i val="0"/>
        <color rgb="FFFF0000"/>
      </font>
    </dxf>
    <dxf>
      <font>
        <b/>
        <i val="0"/>
      </font>
    </dxf>
    <dxf>
      <font>
        <b/>
        <i val="0"/>
      </font>
    </dxf>
    <dxf>
      <font>
        <b/>
        <i val="0"/>
        <color rgb="FF46DA5F"/>
      </font>
    </dxf>
    <dxf>
      <font>
        <b/>
        <i val="0"/>
        <color rgb="FFFF0000"/>
      </font>
    </dxf>
    <dxf>
      <font>
        <b/>
        <i val="0"/>
        <color rgb="FF46DA5F"/>
      </font>
    </dxf>
    <dxf>
      <font>
        <b/>
        <i val="0"/>
        <color rgb="FFFF0000"/>
      </font>
    </dxf>
    <dxf>
      <font>
        <b/>
        <i val="0"/>
        <color rgb="FF46DA5F"/>
      </font>
    </dxf>
    <dxf>
      <font>
        <b/>
        <i val="0"/>
        <color rgb="FFFF0000"/>
      </font>
    </dxf>
    <dxf>
      <font>
        <b/>
        <i val="0"/>
        <color rgb="FF46DA5F"/>
      </font>
    </dxf>
    <dxf>
      <font>
        <b/>
        <i val="0"/>
        <color rgb="FFFF0000"/>
      </font>
    </dxf>
    <dxf>
      <font>
        <b/>
        <i val="0"/>
      </font>
    </dxf>
    <dxf>
      <font>
        <b/>
        <i val="0"/>
      </font>
    </dxf>
    <dxf>
      <font>
        <b/>
        <i val="0"/>
        <color rgb="FF46DA5F"/>
      </font>
    </dxf>
    <dxf>
      <font>
        <b/>
        <i val="0"/>
        <color rgb="FFFF0000"/>
      </font>
    </dxf>
    <dxf>
      <font>
        <b/>
        <i val="0"/>
        <color rgb="FF46DA5F"/>
      </font>
    </dxf>
    <dxf>
      <font>
        <b/>
        <i val="0"/>
        <color rgb="FFFF0000"/>
      </font>
    </dxf>
    <dxf>
      <font>
        <b/>
        <i val="0"/>
        <color rgb="FF46DA5F"/>
      </font>
    </dxf>
    <dxf>
      <font>
        <b/>
        <i val="0"/>
        <color rgb="FFFF0000"/>
      </font>
    </dxf>
    <dxf>
      <font>
        <b/>
        <i val="0"/>
        <color rgb="FF46DA5F"/>
      </font>
    </dxf>
    <dxf>
      <font>
        <b/>
        <i val="0"/>
        <color rgb="FFFF0000"/>
      </font>
    </dxf>
    <dxf>
      <font>
        <b/>
        <i val="0"/>
        <color rgb="FF46DA5F"/>
      </font>
    </dxf>
    <dxf>
      <font>
        <b/>
        <i val="0"/>
        <color rgb="FFFF0000"/>
      </font>
    </dxf>
    <dxf>
      <font>
        <b/>
        <i val="0"/>
      </font>
    </dxf>
    <dxf>
      <font>
        <b/>
        <i val="0"/>
      </font>
    </dxf>
    <dxf>
      <font>
        <color rgb="FFFF0000"/>
      </font>
    </dxf>
    <dxf>
      <font>
        <color rgb="FF46DA5F"/>
      </font>
    </dxf>
    <dxf>
      <font>
        <color rgb="FF00B050"/>
      </font>
    </dxf>
    <dxf>
      <font>
        <color rgb="FFFF0000"/>
      </font>
    </dxf>
  </dxfs>
  <tableStyles count="0" defaultTableStyle="TableStyleMedium2" defaultPivotStyle="PivotStyleLight16"/>
  <colors>
    <mruColors>
      <color rgb="FF00CC00"/>
      <color rgb="FF00FF00"/>
      <color rgb="FF46DA5F"/>
      <color rgb="FF65EB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office/2006/xmlPackage' xmlns:ns2='urn:schemas-microsoft-com:vml' xmlns:ns3='urn:schemas-microsoft-com:office:word' xmlns:ns4='urn:schemas-microsoft-com:office:office' xmlns:ns5='http://schemas.openxmlformats.org/wordprocessingml/2006/main' xmlns:ns6='http://schemas.openxmlformats.org/package/2006/relationships' xmlns:ns7='http://schemas.openxmlformats.org/package/2006/metadata/core-properties' xmlns:ns8='http://schemas.openxmlformats.org/officeDocument/2006/math' xmlns:ns9='http://schemas.openxmlformats.org/officeDocument/2006/extended-properties' xmlns:ns10='http://schemas.openxmlformats.org/officeDocument/2006/docPropsVTypes' xmlns:ns11='http://schemas.openxmlformats.org/officeDocument/2006/custom-properties' xmlns:ns12='http://schemas.openxmlformats.org/markup-compatibility/2006' xmlns:ns13='http://schemas.openxmlformats.org/drawingml/2006/main' xmlns:ns14='http://purl.org/dc/terms/' xmlns:ns15='http://purl.org/dc/elements/1.1/'">
  <Schema ID="Schema1" Namespace="urn:schemas-microsoft-com:vml">
    <xsd:schema xmlns:xsd="http://www.w3.org/2001/XMLSchema" xmlns:ns0="urn:schemas-microsoft-com:vml" xmlns:ns1="urn:schemas-microsoft-com:office:word" xmlns:ns2="urn:schemas-microsoft-com:office:office" xmlns="" targetNamespace="urn:schemas-microsoft-com:vml">
      <xsd:import namespace="urn:schemas-microsoft-com:office:word"/>
      <xsd:import namespace="urn:schemas-microsoft-com:office:office"/>
      <xsd:element nillable="true" name="roundrect">
        <xsd:complexType>
          <xsd:sequence minOccurs="0">
            <xsd:element minOccurs="0" ref="ns1:wrap"/>
            <xsd:element minOccurs="0" ref="ns1:anchorlock"/>
          </xsd:sequence>
          <xsd:attribute name="id" form="unqualified" type="xsd:string"/>
          <xsd:attribute name="style" form="unqualified" type="xsd:string"/>
          <xsd:attribute name="arcsize" form="unqualified" type="xsd:string"/>
          <xsd:attribute ref="ns2:allowincell"/>
          <xsd:attribute name="print" form="unqualified" type="xsd:string"/>
          <xsd:attribute name="filled" form="unqualified" type="xsd:string"/>
          <xsd:attribute name="strokecolor" form="unqualified" type="xsd:string"/>
          <xsd:attribute name="strokeweight" form="unqualified" type="xsd:string"/>
        </xsd:complexType>
      </xsd:element>
      <xsd:attribute name="ext" type="xsd:string"/>
    </xsd:schema>
  </Schema>
  <Schema ID="Schema2" Namespace="urn:schemas-microsoft-com:office:word">
    <xsd:schema xmlns:xsd="http://www.w3.org/2001/XMLSchema" xmlns:ns0="urn:schemas-microsoft-com:office:word" xmlns="" targetNamespace="urn:schemas-microsoft-com:office:word">
      <xsd:element nillable="true" name="wrap">
        <xsd:complexType>
          <xsd:attribute name="anchorx" form="unqualified" type="xsd:string"/>
          <xsd:attribute name="anchory" form="unqualified" type="xsd:string"/>
        </xsd:complexType>
      </xsd:element>
      <xsd:element nillable="true" type="xsd:string" name="anchorlock"/>
    </xsd:schema>
  </Schema>
  <Schema ID="Schema3" Namespace="urn:schemas-microsoft-com:office:office">
    <xsd:schema xmlns:xsd="http://www.w3.org/2001/XMLSchema" xmlns:ns0="urn:schemas-microsoft-com:vml" xmlns:ns1="urn:schemas-microsoft-com:office:office" xmlns="" targetNamespace="urn:schemas-microsoft-com:office:office">
      <xsd:import namespace="urn:schemas-microsoft-com:vml"/>
      <xsd:element nillable="true" name="shapedefaults">
        <xsd:complexType>
          <xsd:attribute ref="ns0:ext"/>
          <xsd:attribute name="spidmax" form="unqualified" type="xsd:integer"/>
        </xsd:complexType>
      </xsd:element>
      <xsd:element nillable="true" name="shapelayout">
        <xsd:complexType>
          <xsd:sequence minOccurs="0">
            <xsd:element minOccurs="0" nillable="true" name="idmap" form="qualified">
              <xsd:complexType>
                <xsd:attribute ref="ns0:ext"/>
                <xsd:attribute name="data" form="unqualified" type="xsd:integer"/>
              </xsd:complexType>
            </xsd:element>
          </xsd:sequence>
          <xsd:attribute ref="ns0:ext"/>
        </xsd:complexType>
      </xsd:element>
      <xsd:attribute name="allowincell" type="xsd:string"/>
    </xsd:schema>
  </Schema>
  <Schema ID="Schema4" Namespace="http://schemas.openxmlformats.org/wordprocessingml/2006/main">
    <xsd:schema xmlns:xsd="http://www.w3.org/2001/XMLSchema" xmlns:ns0="urn:schemas-microsoft-com:vml" xmlns:ns1="urn:schemas-microsoft-com:office:office" xmlns:ns2="http://schemas.openxmlformats.org/wordprocessingml/2006/main" xmlns:ns3="http://schemas.openxmlformats.org/officeDocument/2006/math" xmlns:ns4="http://schemas.openxmlformats.org/markup-compatibility/2006" xmlns="" targetNamespace="http://schemas.openxmlformats.org/wordprocessingml/2006/main">
      <xsd:import namespace="urn:schemas-microsoft-com:vml"/>
      <xsd:import namespace="urn:schemas-microsoft-com:office:office"/>
      <xsd:import namespace="http://schemas.openxmlformats.org/officeDocument/2006/math"/>
      <xsd:import namespace="http://schemas.openxmlformats.org/markup-compatibility/2006"/>
      <xsd:element nillable="true" name="document">
        <xsd:complexType>
          <xsd:sequence minOccurs="0">
            <xsd:element minOccurs="0" nillable="true" name="body" form="qualified">
              <xsd:complexType>
                <xsd:sequence minOccurs="0">
                  <xsd:element minOccurs="0" nillable="true" name="tbl" form="qualified">
                    <xsd:complexType>
                      <xsd:sequence minOccurs="0">
                        <xsd:element minOccurs="0" nillable="true" name="tblPr" form="qualified">
                          <xsd:complexType>
                            <xsd:sequence minOccurs="0">
                              <xsd:element minOccurs="0" nillable="true" name="tblW" form="qualified">
                                <xsd:complexType>
                                  <xsd:attribute ref="ns2:w"/>
                                  <xsd:attribute ref="ns2:type"/>
                                </xsd:complexType>
                              </xsd:element>
                              <xsd:element minOccurs="0" nillable="true" name="tblLayout" form="qualified">
                                <xsd:complexType>
                                  <xsd:attribute ref="ns2:type"/>
                                </xsd:complexType>
                              </xsd:element>
                              <xsd:element minOccurs="0" nillable="true" name="tblCellMar" form="qualified">
                                <xsd:complexType>
                                  <xsd:sequence minOccurs="0">
                                    <xsd:element minOccurs="0" nillable="true" name="left" form="qualified">
                                      <xsd:complexType>
                                        <xsd:attribute ref="ns2:w"/>
                                        <xsd:attribute ref="ns2:type"/>
                                      </xsd:complexType>
                                    </xsd:element>
                                    <xsd:element minOccurs="0" nillable="true" name="right" form="qualified">
                                      <xsd:complexType>
                                        <xsd:attribute ref="ns2:w"/>
                                        <xsd:attribute ref="ns2:type"/>
                                      </xsd:complexType>
                                    </xsd:element>
                                  </xsd:sequence>
                                </xsd:complexType>
                              </xsd:element>
                              <xsd:element minOccurs="0" nillable="true" name="tblLook" form="qualified">
                                <xsd:complexType>
                                  <xsd:attribute ref="ns2:val"/>
                                  <xsd:attribute ref="ns2:firstRow"/>
                                  <xsd:attribute ref="ns2:lastRow"/>
                                  <xsd:attribute ref="ns2:firstColumn"/>
                                  <xsd:attribute ref="ns2:lastColumn"/>
                                  <xsd:attribute ref="ns2:noHBand"/>
                                  <xsd:attribute ref="ns2:noVBand"/>
                                </xsd:complexType>
                              </xsd:element>
                            </xsd:sequence>
                          </xsd:complexType>
                        </xsd:element>
                        <xsd:element minOccurs="0" nillable="true" name="tblGrid" form="qualified">
                          <xsd:complexType>
                            <xsd:sequence minOccurs="0">
                              <xsd:element minOccurs="0" maxOccurs="unbounded" nillable="true" name="gridCol" form="qualified">
                                <xsd:complexType>
                                  <xsd:attribute ref="ns2:w"/>
                                </xsd:complexType>
                              </xsd:element>
                            </xsd:sequence>
                          </xsd:complexType>
                        </xsd:element>
                        <xsd:element minOccurs="0" maxOccurs="unbounded" nillable="true" name="tr" form="qualified">
                          <xsd:complexType>
                            <xsd:sequence minOccurs="0">
                              <xsd:element minOccurs="0" nillable="true" name="trPr" form="qualified">
                                <xsd:complexType>
                                  <xsd:sequence minOccurs="0">
                                    <xsd:element minOccurs="0" nillable="true" name="trHeight" form="qualified">
                                      <xsd:complexType>
                                        <xsd:attribute ref="ns2:hRule"/>
                                        <xsd:attribute ref="ns2:val"/>
                                      </xsd:complexType>
                                    </xsd:element>
                                  </xsd:sequence>
                                </xsd:complexType>
                              </xsd:element>
                              <xsd:element minOccurs="0" maxOccurs="unbounded" nillable="true" name="tc" form="qualified">
                                <xsd:complexType>
                                  <xsd:sequence minOccurs="0">
                                    <xsd:element minOccurs="0" nillable="true" name="tcPr" form="qualified">
                                      <xsd:complexType>
                                        <xsd:all>
                                          <xsd:element minOccurs="0" nillable="true" name="tcW" form="qualified">
                                            <xsd:complexType>
                                              <xsd:attribute ref="ns2:w"/>
                                              <xsd:attribute ref="ns2:type"/>
                                            </xsd:complexType>
                                          </xsd:element>
                                          <xsd:element minOccurs="0" nillable="true" name="tcMar" form="qualified">
                                            <xsd:complexType>
                                              <xsd:all>
                                                <xsd:element minOccurs="0" nillable="true" name="top" form="qualified">
                                                  <xsd:complexType>
                                                    <xsd:attribute ref="ns2:w"/>
                                                    <xsd:attribute ref="ns2:type"/>
                                                  </xsd:complexType>
                                                </xsd:element>
                                                <xsd:element minOccurs="0" nillable="true" name="bottom" form="qualified">
                                                  <xsd:complexType>
                                                    <xsd:attribute ref="ns2:w"/>
                                                    <xsd:attribute ref="ns2:type"/>
                                                  </xsd:complexType>
                                                </xsd:element>
                                                <xsd:element minOccurs="0" nillable="true" name="left" form="qualified">
                                                  <xsd:complexType>
                                                    <xsd:attribute ref="ns2:w"/>
                                                    <xsd:attribute ref="ns2:type"/>
                                                  </xsd:complexType>
                                                </xsd:element>
                                                <xsd:element minOccurs="0" nillable="true" name="right" form="qualified">
                                                  <xsd:complexType>
                                                    <xsd:attribute ref="ns2:w"/>
                                                    <xsd:attribute ref="ns2:type"/>
                                                  </xsd:complexType>
                                                </xsd:element>
                                              </xsd:all>
                                            </xsd:complexType>
                                          </xsd:element>
                                          <xsd:element minOccurs="0" nillable="true" name="vAlign" form="qualified">
                                            <xsd:complexType>
                                              <xsd:attribute ref="ns2:val"/>
                                            </xsd:complexType>
                                          </xsd:element>
                                          <xsd:element minOccurs="0" nillable="true" name="vMerge" form="qualified">
                                            <xsd:complexType>
                                              <xsd:attribute ref="ns2:val"/>
                                            </xsd:complexType>
                                          </xsd:element>
                                          <xsd:element minOccurs="0" nillable="true" name="tcBorders" form="qualified">
                                            <xsd:complexType>
                                              <xsd:sequence minOccurs="0">
                                                <xsd:element minOccurs="0" nillable="true" name="top" form="qualified">
                                                  <xsd:complexType>
                                                    <xsd:attribute ref="ns2:val"/>
                                                    <xsd:attribute ref="ns2:sz"/>
                                                    <xsd:attribute ref="ns2:space"/>
                                                    <xsd:attribute ref="ns2:color"/>
                                                  </xsd:complexType>
                                                </xsd:element>
                                                <xsd:element minOccurs="0" nillable="true" name="bottom" form="qualified">
                                                  <xsd:complexType>
                                                    <xsd:attribute ref="ns2:val"/>
                                                    <xsd:attribute ref="ns2:sz"/>
                                                    <xsd:attribute ref="ns2:space"/>
                                                    <xsd:attribute ref="ns2:color"/>
                                                  </xsd:complexType>
                                                </xsd:element>
                                              </xsd:sequence>
                                            </xsd:complexType>
                                          </xsd:element>
                                        </xsd:all>
                                      </xsd:complexType>
                                    </xsd:element>
                                    <xsd:element minOccurs="0" nillable="true" name="p" form="qualified">
                                      <xsd:complexType>
                                        <xsd:sequence minOccurs="0">
                                          <xsd:element minOccurs="0" nillable="true" name="pPr" form="qualified">
                                            <xsd:complexType>
                                              <xsd:sequence minOccurs="0">
                                                <xsd:element minOccurs="0" nillable="true" name="pStyle" form="qualified">
                                                  <xsd:complexType>
                                                    <xsd:attribute ref="ns2:val"/>
                                                  </xsd:complexType>
                                                </xsd:element>
                                              </xsd:sequence>
                                            </xsd:complexType>
                                          </xsd:element>
                                          <xsd:element minOccurs="0" nillable="true" name="bookmarkStart" form="qualified">
                                            <xsd:complexType>
                                              <xsd:attribute ref="ns2:id"/>
                                              <xsd:attribute ref="ns2:name"/>
                                            </xsd:complexType>
                                          </xsd:element>
                                          <xsd:element minOccurs="0" nillable="true" name="bookmarkEnd" form="qualified">
                                            <xsd:complexType>
                                              <xsd:attribute ref="ns2:id"/>
                                            </xsd:complexType>
                                          </xsd:element>
                                        </xsd:sequence>
                                        <xsd:attribute ref="ns2:rsidR"/>
                                        <xsd:attribute ref="ns2:rsidRPr"/>
                                        <xsd:attribute ref="ns2:rsidRDefault"/>
                                      </xsd:complexType>
                                    </xsd:element>
                                  </xsd:sequence>
                                </xsd:complexType>
                              </xsd:element>
                            </xsd:sequence>
                            <xsd:attribute ref="ns2:rsidR"/>
                            <xsd:attribute ref="ns2:rsidRPr"/>
                          </xsd:complexType>
                        </xsd:element>
                      </xsd:sequence>
                    </xsd:complexType>
                  </xsd:element>
                  <xsd:element minOccurs="0" nillable="true" name="p" form="qualified">
                    <xsd:complexType>
                      <xsd:sequence minOccurs="0">
                        <xsd:element minOccurs="0" nillable="true" name="pPr" form="qualified">
                          <xsd:complexType>
                            <xsd:sequence minOccurs="0">
                              <xsd:element minOccurs="0" nillable="true" name="spacing" form="qualified">
                                <xsd:complexType>
                                  <xsd:attribute ref="ns2:after"/>
                                  <xsd:attribute ref="ns2:line"/>
                                  <xsd:attribute ref="ns2:lineRule"/>
                                </xsd:complexType>
                              </xsd:element>
                            </xsd:sequence>
                          </xsd:complexType>
                        </xsd:element>
                        <xsd:element minOccurs="0" maxOccurs="unbounded" nillable="true" name="r" form="qualified">
                          <xsd:complexType>
                            <xsd:sequence minOccurs="0">
                              <xsd:element minOccurs="0" nillable="true" name="pict" form="qualified">
                                <xsd:complexType>
                                  <xsd:sequence minOccurs="0">
                                    <xsd:element minOccurs="0" ref="ns0:roundrect"/>
                                  </xsd:sequence>
                                </xsd:complexType>
                              </xsd:element>
                            </xsd:sequence>
                          </xsd:complexType>
                        </xsd:element>
                      </xsd:sequence>
                      <xsd:attribute ref="ns2:rsidR"/>
                      <xsd:attribute ref="ns2:rsidRDefault"/>
                    </xsd:complexType>
                  </xsd:element>
                  <xsd:element minOccurs="0" nillable="true" name="sectPr" form="qualified">
                    <xsd:complexType>
                      <xsd:sequence minOccurs="0">
                        <xsd:element minOccurs="0" nillable="true" name="pgSz" form="qualified">
                          <xsd:complexType>
                            <xsd:attribute ref="ns2:w"/>
                            <xsd:attribute ref="ns2:h"/>
                          </xsd:complexType>
                        </xsd:element>
                        <xsd:element minOccurs="0" nillable="true" name="pgMar" form="qualified">
                          <xsd:complexType>
                            <xsd:attribute ref="ns2:top"/>
                            <xsd:attribute ref="ns2:right"/>
                            <xsd:attribute ref="ns2:bottom"/>
                            <xsd:attribute ref="ns2:left"/>
                            <xsd:attribute ref="ns2:header"/>
                            <xsd:attribute ref="ns2:footer"/>
                            <xsd:attribute ref="ns2:gutter"/>
                          </xsd:complexType>
                        </xsd:element>
                        <xsd:element minOccurs="0" nillable="true" name="cols" form="qualified">
                          <xsd:complexType>
                            <xsd:attribute ref="ns2:space"/>
                          </xsd:complexType>
                        </xsd:element>
                      </xsd:sequence>
                      <xsd:attribute ref="ns2:rsidR"/>
                      <xsd:attribute ref="ns2:rsidSect"/>
                    </xsd:complexType>
                  </xsd:element>
                </xsd:sequence>
              </xsd:complexType>
            </xsd:element>
          </xsd:sequence>
          <xsd:attribute ref="ns4:Ignorable"/>
        </xsd:complexType>
      </xsd:element>
      <xsd:element nillable="true" name="settings">
        <xsd:complexType>
          <xsd:sequence minOccurs="0">
            <xsd:element minOccurs="0" nillable="true" name="zoom" form="qualified">
              <xsd:complexType>
                <xsd:attribute ref="ns2:val"/>
                <xsd:attribute ref="ns2:percent"/>
              </xsd:complexType>
            </xsd:element>
            <xsd:element minOccurs="0" nillable="true" name="proofState" form="qualified">
              <xsd:complexType>
                <xsd:attribute ref="ns2:grammar"/>
              </xsd:complexType>
            </xsd:element>
            <xsd:element minOccurs="0" nillable="true" type="xsd:string" name="doNotTrackMoves" form="qualified"/>
            <xsd:element minOccurs="0" nillable="true" name="defaultTabStop" form="qualified">
              <xsd:complexType>
                <xsd:attribute ref="ns2:val"/>
              </xsd:complexType>
            </xsd:element>
            <xsd:element minOccurs="0" nillable="true" name="characterSpacingControl" form="qualified">
              <xsd:complexType>
                <xsd:attribute ref="ns2:val"/>
              </xsd:complexType>
            </xsd:element>
            <xsd:element minOccurs="0" nillable="true" name="compat" form="qualified">
              <xsd:complexType>
                <xsd:sequence minOccurs="0">
                  <xsd:element minOccurs="0" nillable="true" type="xsd:string" name="useNormalStyleForList" form="qualified"/>
                  <xsd:element minOccurs="0" nillable="true" type="xsd:string" name="doNotUseIndentAsNumberingTabStop" form="qualified"/>
                  <xsd:element minOccurs="0" nillable="true" type="xsd:string" name="useAltKinsokuLineBreakRules" form="qualified"/>
                  <xsd:element minOccurs="0" nillable="true" type="xsd:string" name="allowSpaceOfSameStyleInTable" form="qualified"/>
                  <xsd:element minOccurs="0" nillable="true" type="xsd:string" name="doNotSuppressIndentation" form="qualified"/>
                  <xsd:element minOccurs="0" nillable="true" type="xsd:string" name="doNotAutofitConstrainedTables" form="qualified"/>
                  <xsd:element minOccurs="0" nillable="true" type="xsd:string" name="autofitToFirstFixedWidthCell" form="qualified"/>
                  <xsd:element minOccurs="0" nillable="true" type="xsd:string" name="displayHangulFixedWidth" form="qualified"/>
                  <xsd:element minOccurs="0" nillable="true" type="xsd:string" name="splitPgBreakAndParaMark" form="qualified"/>
                  <xsd:element minOccurs="0" nillable="true" type="xsd:string" name="doNotVertAlignCellWithSp" form="qualified"/>
                  <xsd:element minOccurs="0" nillable="true" type="xsd:string" name="doNotBreakConstrainedForcedTable" form="qualified"/>
                  <xsd:element minOccurs="0" nillable="true" type="xsd:string" name="doNotVertAlignInTxbx" form="qualified"/>
                  <xsd:element minOccurs="0" nillable="true" type="xsd:string" name="useAnsiKerningPairs" form="qualified"/>
                  <xsd:element minOccurs="0" nillable="true" type="xsd:string" name="cachedColBalance" form="qualified"/>
                  <xsd:element minOccurs="0" nillable="true" name="compatSetting" form="qualified">
                    <xsd:complexType>
                      <xsd:attribute ref="ns2:name"/>
                      <xsd:attribute ref="ns2:uri"/>
                      <xsd:attribute ref="ns2:val"/>
                    </xsd:complexType>
                  </xsd:element>
                </xsd:sequence>
              </xsd:complexType>
            </xsd:element>
            <xsd:element minOccurs="0" nillable="true" name="rsids" form="qualified">
              <xsd:complexType>
                <xsd:sequence minOccurs="0">
                  <xsd:element minOccurs="0" nillable="true" name="rsidRoot" form="qualified">
                    <xsd:complexType>
                      <xsd:attribute ref="ns2:val"/>
                    </xsd:complexType>
                  </xsd:element>
                  <xsd:element minOccurs="0" maxOccurs="unbounded" nillable="true" name="rsid" form="qualified">
                    <xsd:complexType>
                      <xsd:attribute ref="ns2:val"/>
                    </xsd:complexType>
                  </xsd:element>
                </xsd:sequence>
              </xsd:complexType>
            </xsd:element>
            <xsd:element minOccurs="0" ref="ns3:mathPr"/>
            <xsd:element minOccurs="0" nillable="true" name="themeFontLang" form="qualified">
              <xsd:complexType>
                <xsd:attribute ref="ns2:val"/>
              </xsd:complexType>
            </xsd:element>
            <xsd:element minOccurs="0" nillable="true" name="clrSchemeMapping" form="qualified">
              <xsd:complexType>
                <xsd:attribute ref="ns2:bg1"/>
                <xsd:attribute ref="ns2:t1"/>
                <xsd:attribute ref="ns2:bg2"/>
                <xsd:attribute ref="ns2:t2"/>
                <xsd:attribute ref="ns2:accent1"/>
                <xsd:attribute ref="ns2:accent2"/>
                <xsd:attribute ref="ns2:accent3"/>
                <xsd:attribute ref="ns2:accent4"/>
                <xsd:attribute ref="ns2:accent5"/>
                <xsd:attribute ref="ns2:accent6"/>
                <xsd:attribute ref="ns2:hyperlink"/>
                <xsd:attribute ref="ns2:followedHyperlink"/>
              </xsd:complexType>
            </xsd:element>
            <xsd:element minOccurs="0" nillable="true" name="shapeDefaults" form="qualified">
              <xsd:complexType>
                <xsd:sequence minOccurs="0">
                  <xsd:element minOccurs="0" ref="ns1:shapedefaults"/>
                  <xsd:element minOccurs="0" ref="ns1:shapelayout"/>
                </xsd:sequence>
              </xsd:complexType>
            </xsd:element>
            <xsd:element minOccurs="0" nillable="true" name="decimalSymbol" form="qualified">
              <xsd:complexType>
                <xsd:attribute ref="ns2:val"/>
              </xsd:complexType>
            </xsd:element>
            <xsd:element minOccurs="0" nillable="true" name="listSeparator" form="qualified">
              <xsd:complexType>
                <xsd:attribute ref="ns2:val"/>
              </xsd:complexType>
            </xsd:element>
          </xsd:sequence>
          <xsd:attribute ref="ns4:Ignorable"/>
        </xsd:complexType>
      </xsd:element>
      <xsd:element nillable="true" name="fonts">
        <xsd:complexType>
          <xsd:sequence minOccurs="0">
            <xsd:element minOccurs="0" maxOccurs="unbounded" nillable="true" name="font" form="qualified">
              <xsd:complexType>
                <xsd:sequence minOccurs="0">
                  <xsd:element minOccurs="0" nillable="true" name="panose1" form="qualified">
                    <xsd:complexType>
                      <xsd:attribute ref="ns2:val"/>
                    </xsd:complexType>
                  </xsd:element>
                  <xsd:element minOccurs="0" nillable="true" name="charset" form="qualified">
                    <xsd:complexType>
                      <xsd:attribute ref="ns2:val"/>
                    </xsd:complexType>
                  </xsd:element>
                  <xsd:element minOccurs="0" nillable="true" name="family" form="qualified">
                    <xsd:complexType>
                      <xsd:attribute ref="ns2:val"/>
                    </xsd:complexType>
                  </xsd:element>
                  <xsd:element minOccurs="0" nillable="true" name="pitch" form="qualified">
                    <xsd:complexType>
                      <xsd:attribute ref="ns2:val"/>
                    </xsd:complexType>
                  </xsd:element>
                  <xsd:element minOccurs="0" nillable="true" name="sig" form="qualified">
                    <xsd:complexType>
                      <xsd:attribute ref="ns2:usb0"/>
                      <xsd:attribute ref="ns2:usb1"/>
                      <xsd:attribute ref="ns2:usb2"/>
                      <xsd:attribute ref="ns2:usb3"/>
                      <xsd:attribute ref="ns2:csb0"/>
                      <xsd:attribute ref="ns2:csb1"/>
                    </xsd:complexType>
                  </xsd:element>
                </xsd:sequence>
                <xsd:attribute ref="ns2:name"/>
              </xsd:complexType>
            </xsd:element>
          </xsd:sequence>
          <xsd:attribute ref="ns4:Ignorable"/>
        </xsd:complexType>
      </xsd:element>
      <xsd:element nillable="true" name="webSettings">
        <xsd:complexType>
          <xsd:sequence minOccurs="0">
            <xsd:element minOccurs="0" nillable="true" name="targetScreenSz" form="qualified">
              <xsd:complexType>
                <xsd:attribute ref="ns2:val"/>
              </xsd:complexType>
            </xsd:element>
          </xsd:sequence>
          <xsd:attribute ref="ns4:Ignorable"/>
        </xsd:complexType>
      </xsd:element>
      <xsd:element nillable="true" name="styles">
        <xsd:complexType>
          <xsd:sequence minOccurs="0">
            <xsd:element minOccurs="0" nillable="true" name="docDefaults" form="qualified">
              <xsd:complexType>
                <xsd:sequence minOccurs="0">
                  <xsd:element minOccurs="0" nillable="true" name="rPrDefault" form="qualified">
                    <xsd:complexType>
                      <xsd:sequence minOccurs="0">
                        <xsd:element minOccurs="0" nillable="true" name="rPr" form="qualified">
                          <xsd:complexType>
                            <xsd:sequence minOccurs="0">
                              <xsd:element minOccurs="0" nillable="true" name="rFonts" form="qualified">
                                <xsd:complexType>
                                  <xsd:attribute ref="ns2:ascii"/>
                                  <xsd:attribute ref="ns2:eastAsia"/>
                                  <xsd:attribute ref="ns2:hAnsi"/>
                                  <xsd:attribute ref="ns2:cs"/>
                                </xsd:complexType>
                              </xsd:element>
                              <xsd:element minOccurs="0" nillable="true" name="lang" form="qualified">
                                <xsd:complexType>
                                  <xsd:attribute ref="ns2:val"/>
                                  <xsd:attribute ref="ns2:eastAsia"/>
                                  <xsd:attribute ref="ns2:bidi"/>
                                </xsd:complexType>
                              </xsd:element>
                            </xsd:sequence>
                          </xsd:complexType>
                        </xsd:element>
                      </xsd:sequence>
                    </xsd:complexType>
                  </xsd:element>
                  <xsd:element minOccurs="0" nillable="true" type="xsd:string" name="pPrDefault" form="qualified"/>
                </xsd:sequence>
              </xsd:complexType>
            </xsd:element>
            <xsd:element minOccurs="0" nillable="true" name="latentStyles" form="qualified">
              <xsd:complexType>
                <xsd:sequence minOccurs="0">
                  <xsd:element minOccurs="0" maxOccurs="unbounded" nillable="true" name="lsdException" form="qualified">
                    <xsd:complexType>
                      <xsd:attribute ref="ns2:name"/>
                      <xsd:attribute ref="ns2:semiHidden"/>
                      <xsd:attribute ref="ns2:uiPriority"/>
                      <xsd:attribute ref="ns2:unhideWhenUsed"/>
                      <xsd:attribute ref="ns2:qFormat"/>
                    </xsd:complexType>
                  </xsd:element>
                </xsd:sequence>
                <xsd:attribute ref="ns2:defLockedState"/>
                <xsd:attribute ref="ns2:defUIPriority"/>
                <xsd:attribute ref="ns2:defSemiHidden"/>
                <xsd:attribute ref="ns2:defUnhideWhenUsed"/>
                <xsd:attribute ref="ns2:defQFormat"/>
                <xsd:attribute ref="ns2:count"/>
              </xsd:complexType>
            </xsd:element>
            <xsd:element minOccurs="0" maxOccurs="unbounded" nillable="true" name="style" form="qualified">
              <xsd:complexType>
                <xsd:all>
                  <xsd:element minOccurs="0" nillable="true" name="name" form="qualified">
                    <xsd:complexType>
                      <xsd:attribute ref="ns2:val"/>
                    </xsd:complexType>
                  </xsd:element>
                  <xsd:element minOccurs="0" nillable="true" type="xsd:string" name="qFormat" form="qualified"/>
                  <xsd:element minOccurs="0" nillable="true" name="pPr" form="qualified">
                    <xsd:complexType>
                      <xsd:sequence minOccurs="0">
                        <xsd:element minOccurs="0" nillable="true" name="spacing" form="qualified">
                          <xsd:complexType>
                            <xsd:attribute ref="ns2:after"/>
                            <xsd:attribute ref="ns2:line"/>
                            <xsd:attribute ref="ns2:lineRule"/>
                            <xsd:attribute ref="ns2:before"/>
                          </xsd:complexType>
                        </xsd:element>
                        <xsd:element minOccurs="0" nillable="true" name="ind" form="qualified">
                          <xsd:complexType>
                            <xsd:attribute ref="ns2:left"/>
                            <xsd:attribute ref="ns2:right"/>
                          </xsd:complexType>
                        </xsd:element>
                      </xsd:sequence>
                    </xsd:complexType>
                  </xsd:element>
                  <xsd:element minOccurs="0" nillable="true" name="rPr" form="qualified">
                    <xsd:complexType>
                      <xsd:all>
                        <xsd:element minOccurs="0" nillable="true" name="sz" form="qualified">
                          <xsd:complexType>
                            <xsd:attribute ref="ns2:val"/>
                          </xsd:complexType>
                        </xsd:element>
                        <xsd:element minOccurs="0" nillable="true" name="szCs" form="qualified">
                          <xsd:complexType>
                            <xsd:attribute ref="ns2:val"/>
                          </xsd:complexType>
                        </xsd:element>
                        <xsd:element minOccurs="0" nillable="true" name="rFonts" form="qualified">
                          <xsd:complexType>
                            <xsd:attribute ref="ns2:ascii"/>
                            <xsd:attribute ref="ns2:hAnsi"/>
                            <xsd:attribute ref="ns2:cs"/>
                          </xsd:complexType>
                        </xsd:element>
                        <xsd:element minOccurs="0" nillable="true" type="xsd:string" name="bCs" form="qualified"/>
                        <xsd:element minOccurs="0" nillable="true" name="color" form="qualified">
                          <xsd:complexType>
                            <xsd:attribute ref="ns2:val"/>
                          </xsd:complexType>
                        </xsd:element>
                      </xsd:all>
                    </xsd:complexType>
                  </xsd:element>
                  <xsd:element minOccurs="0" nillable="true" name="uiPriority" form="qualified">
                    <xsd:complexType>
                      <xsd:attribute ref="ns2:val"/>
                    </xsd:complexType>
                  </xsd:element>
                  <xsd:element minOccurs="0" nillable="true" type="xsd:string" name="semiHidden" form="qualified"/>
                  <xsd:element minOccurs="0" nillable="true" type="xsd:string" name="unhideWhenUsed" form="qualified"/>
                  <xsd:element minOccurs="0" nillable="true" name="tblPr" form="qualified">
                    <xsd:complexType>
                      <xsd:sequence minOccurs="0">
                        <xsd:element minOccurs="0" nillable="true" name="tblInd" form="qualified">
                          <xsd:complexType>
                            <xsd:attribute ref="ns2:w"/>
                            <xsd:attribute ref="ns2:type"/>
                          </xsd:complexType>
                        </xsd:element>
                        <xsd:element minOccurs="0" nillable="true" name="tblCellMar" form="qualified">
                          <xsd:complexType>
                            <xsd:sequence minOccurs="0">
                              <xsd:element minOccurs="0" nillable="true" name="top" form="qualified">
                                <xsd:complexType>
                                  <xsd:attribute ref="ns2:w"/>
                                  <xsd:attribute ref="ns2:type"/>
                                </xsd:complexType>
                              </xsd:element>
                              <xsd:element minOccurs="0" nillable="true" name="left" form="qualified">
                                <xsd:complexType>
                                  <xsd:attribute ref="ns2:w"/>
                                  <xsd:attribute ref="ns2:type"/>
                                </xsd:complexType>
                              </xsd:element>
                              <xsd:element minOccurs="0" nillable="true" name="bottom" form="qualified">
                                <xsd:complexType>
                                  <xsd:attribute ref="ns2:w"/>
                                  <xsd:attribute ref="ns2:type"/>
                                </xsd:complexType>
                              </xsd:element>
                              <xsd:element minOccurs="0" nillable="true" name="right" form="qualified">
                                <xsd:complexType>
                                  <xsd:attribute ref="ns2:w"/>
                                  <xsd:attribute ref="ns2:type"/>
                                </xsd:complexType>
                              </xsd:element>
                            </xsd:sequence>
                          </xsd:complexType>
                        </xsd:element>
                      </xsd:sequence>
                    </xsd:complexType>
                  </xsd:element>
                  <xsd:element minOccurs="0" nillable="true" name="rsid" form="qualified">
                    <xsd:complexType>
                      <xsd:attribute ref="ns2:val"/>
                    </xsd:complexType>
                  </xsd:element>
                </xsd:all>
                <xsd:attribute ref="ns2:type"/>
                <xsd:attribute ref="ns2:default"/>
                <xsd:attribute ref="ns2:styleId"/>
                <xsd:attribute ref="ns2:customStyle"/>
              </xsd:complexType>
            </xsd:element>
          </xsd:sequence>
          <xsd:attribute ref="ns4:Ignorable"/>
        </xsd:complexType>
      </xsd:element>
      <xsd:attribute name="w" type="xsd:integer"/>
      <xsd:attribute name="type" type="xsd:string"/>
      <xsd:attribute name="val" type="xsd:string"/>
      <xsd:attribute name="firstRow" type="xsd:integer"/>
      <xsd:attribute name="lastRow" type="xsd:integer"/>
      <xsd:attribute name="firstColumn" type="xsd:integer"/>
      <xsd:attribute name="lastColumn" type="xsd:integer"/>
      <xsd:attribute name="noHBand" type="xsd:integer"/>
      <xsd:attribute name="noVBand" type="xsd:integer"/>
      <xsd:attribute name="rsidR" type="xsd:string"/>
      <xsd:attribute name="rsidRPr" type="xsd:string"/>
      <xsd:attribute name="hRule" type="xsd:string"/>
      <xsd:attribute name="rsidRDefault" type="xsd:string"/>
      <xsd:attribute name="id" type="xsd:integer"/>
      <xsd:attribute name="name" type="xsd:string"/>
      <xsd:attribute name="sz" type="xsd:integer"/>
      <xsd:attribute name="space" type="xsd:integer"/>
      <xsd:attribute name="color" type="xsd:string"/>
      <xsd:attribute name="after" type="xsd:integer"/>
      <xsd:attribute name="line" type="xsd:integer"/>
      <xsd:attribute name="lineRule" type="xsd:string"/>
      <xsd:attribute name="rsidSect" type="xsd:string"/>
      <xsd:attribute name="h" type="xsd:integer"/>
      <xsd:attribute name="top" type="xsd:integer"/>
      <xsd:attribute name="right" type="xsd:integer"/>
      <xsd:attribute name="bottom" type="xsd:integer"/>
      <xsd:attribute name="left" type="xsd:integer"/>
      <xsd:attribute name="header" type="xsd:integer"/>
      <xsd:attribute name="footer" type="xsd:integer"/>
      <xsd:attribute name="gutter" type="xsd:integer"/>
      <xsd:attribute name="percent" type="xsd:integer"/>
      <xsd:attribute name="grammar" type="xsd:string"/>
      <xsd:attribute name="uri" type="xsd:anyURI"/>
      <xsd:attribute name="bg1" type="xsd:string"/>
      <xsd:attribute name="t1" type="xsd:string"/>
      <xsd:attribute name="bg2" type="xsd:string"/>
      <xsd:attribute name="t2" type="xsd:string"/>
      <xsd:attribute name="accent1" type="xsd:string"/>
      <xsd:attribute name="accent2" type="xsd:string"/>
      <xsd:attribute name="accent3" type="xsd:string"/>
      <xsd:attribute name="accent4" type="xsd:string"/>
      <xsd:attribute name="accent5" type="xsd:string"/>
      <xsd:attribute name="accent6" type="xsd:string"/>
      <xsd:attribute name="hyperlink" type="xsd:string"/>
      <xsd:attribute name="followedHyperlink" type="xsd:string"/>
      <xsd:attribute name="usb0" type="xsd:string"/>
      <xsd:attribute name="usb1" type="xsd:string"/>
      <xsd:attribute name="usb2" type="xsd:integer"/>
      <xsd:attribute name="usb3" type="xsd:integer"/>
      <xsd:attribute name="csb0" type="xsd:string"/>
      <xsd:attribute name="csb1" type="xsd:integer"/>
      <xsd:attribute name="ascii" type="xsd:string"/>
      <xsd:attribute name="eastAsia" type="xsd:string"/>
      <xsd:attribute name="hAnsi" type="xsd:string"/>
      <xsd:attribute name="cs" type="xsd:string"/>
      <xsd:attribute name="bidi" type="xsd:string"/>
      <xsd:attribute name="defLockedState" type="xsd:integer"/>
      <xsd:attribute name="defUIPriority" type="xsd:integer"/>
      <xsd:attribute name="defSemiHidden" type="xsd:integer"/>
      <xsd:attribute name="defUnhideWhenUsed" type="xsd:integer"/>
      <xsd:attribute name="defQFormat" type="xsd:integer"/>
      <xsd:attribute name="count" type="xsd:integer"/>
      <xsd:attribute name="semiHidden" type="xsd:integer"/>
      <xsd:attribute name="uiPriority" type="xsd:integer"/>
      <xsd:attribute name="unhideWhenUsed" type="xsd:integer"/>
      <xsd:attribute name="qFormat" type="xsd:integer"/>
      <xsd:attribute name="default" type="xsd:integer"/>
      <xsd:attribute name="styleId" type="xsd:string"/>
      <xsd:attribute name="customStyle" type="xsd:integer"/>
      <xsd:attribute name="before" type="xsd:integer"/>
    </xsd:schema>
  </Schema>
  <Schema ID="Schema5" Namespace="http://schemas.openxmlformats.org/package/2006/relationships">
    <xsd:schema xmlns:xsd="http://www.w3.org/2001/XMLSchema" xmlns:ns0="http://schemas.openxmlformats.org/package/2006/relationships" xmlns="" targetNamespace="http://schemas.openxmlformats.org/package/2006/relationships">
      <xsd:element nillable="true" name="Relationships">
        <xsd:complexType>
          <xsd:sequence minOccurs="0">
            <xsd:element minOccurs="0" maxOccurs="unbounded" nillable="true" name="Relationship" form="qualified">
              <xsd:complexType>
                <xsd:attribute name="Id" form="unqualified" type="xsd:string"/>
                <xsd:attribute name="Type" form="unqualified" type="xsd:anyURI"/>
                <xsd:attribute name="Target" form="unqualified" type="xsd:string"/>
              </xsd:complexType>
            </xsd:element>
          </xsd:sequence>
        </xsd:complexType>
      </xsd:element>
    </xsd:schema>
  </Schema>
  <Schema ID="Schema6" Namespace="http://schemas.openxmlformats.org/package/2006/metadata/core-properties">
    <xsd:schema xmlns:xsd="http://www.w3.org/2001/XMLSchema" xmlns:ns0="http://schemas.openxmlformats.org/package/2006/metadata/core-properties" xmlns:ns1="http://purl.org/dc/terms/" xmlns:ns2="http://purl.org/dc/elements/1.1/" xmlns="" targetNamespace="http://schemas.openxmlformats.org/package/2006/metadata/core-properties">
      <xsd:import namespace="http://purl.org/dc/terms/"/>
      <xsd:import namespace="http://purl.org/dc/elements/1.1/"/>
      <xsd:element nillable="true" name="coreProperties">
        <xsd:complexType>
          <xsd:sequence minOccurs="0">
            <xsd:element minOccurs="0" ref="ns2:title"/>
            <xsd:element minOccurs="0" ref="ns2:subject"/>
            <xsd:element minOccurs="0" ref="ns2:creator"/>
            <xsd:element minOccurs="0" nillable="true" type="xsd:string" name="keywords" form="qualified"/>
            <xsd:element minOccurs="0" ref="ns2:description"/>
            <xsd:element minOccurs="0" nillable="true" type="xsd:string" name="lastModifiedBy" form="qualified"/>
            <xsd:element minOccurs="0" nillable="true" type="xsd:integer" name="revision" form="qualified"/>
            <xsd:element minOccurs="0" ref="ns1:created"/>
            <xsd:element minOccurs="0" ref="ns1:modified"/>
            <xsd:element minOccurs="0" nillable="true" type="xsd:string" name="category" form="qualified"/>
          </xsd:sequence>
        </xsd:complexType>
      </xsd:element>
    </xsd:schema>
  </Schema>
  <Schema ID="Schema7" Namespace="http://schemas.openxmlformats.org/officeDocument/2006/math">
    <xsd:schema xmlns:xsd="http://www.w3.org/2001/XMLSchema" xmlns:ns0="http://schemas.openxmlformats.org/officeDocument/2006/math" xmlns="" targetNamespace="http://schemas.openxmlformats.org/officeDocument/2006/math">
      <xsd:element nillable="true" name="mathPr">
        <xsd:complexType>
          <xsd:sequence minOccurs="0">
            <xsd:element minOccurs="0" nillable="true" name="mathFont" form="qualified">
              <xsd:complexType>
                <xsd:attribute ref="ns0:val"/>
              </xsd:complexType>
            </xsd:element>
            <xsd:element minOccurs="0" nillable="true" name="brkBin" form="qualified">
              <xsd:complexType>
                <xsd:attribute ref="ns0:val"/>
              </xsd:complexType>
            </xsd:element>
            <xsd:element minOccurs="0" nillable="true" name="brkBinSub" form="qualified">
              <xsd:complexType>
                <xsd:attribute ref="ns0:val"/>
              </xsd:complexType>
            </xsd:element>
            <xsd:element minOccurs="0" nillable="true" name="smallFrac" form="qualified">
              <xsd:complexType>
                <xsd:attribute ref="ns0:val"/>
              </xsd:complexType>
            </xsd:element>
            <xsd:element minOccurs="0" nillable="true" type="xsd:string" name="dispDef" form="qualified"/>
            <xsd:element minOccurs="0" nillable="true" name="lMargin" form="qualified">
              <xsd:complexType>
                <xsd:attribute ref="ns0:val"/>
              </xsd:complexType>
            </xsd:element>
            <xsd:element minOccurs="0" nillable="true" name="rMargin" form="qualified">
              <xsd:complexType>
                <xsd:attribute ref="ns0:val"/>
              </xsd:complexType>
            </xsd:element>
            <xsd:element minOccurs="0" nillable="true" name="defJc" form="qualified">
              <xsd:complexType>
                <xsd:attribute ref="ns0:val"/>
              </xsd:complexType>
            </xsd:element>
            <xsd:element minOccurs="0" nillable="true" name="wrapIndent" form="qualified">
              <xsd:complexType>
                <xsd:attribute ref="ns0:val"/>
              </xsd:complexType>
            </xsd:element>
            <xsd:element minOccurs="0" nillable="true" name="intLim" form="qualified">
              <xsd:complexType>
                <xsd:attribute ref="ns0:val"/>
              </xsd:complexType>
            </xsd:element>
            <xsd:element minOccurs="0" nillable="true" name="naryLim" form="qualified">
              <xsd:complexType>
                <xsd:attribute ref="ns0:val"/>
              </xsd:complexType>
            </xsd:element>
          </xsd:sequence>
        </xsd:complexType>
      </xsd:element>
      <xsd:attribute name="val" type="xsd:string"/>
    </xsd:schema>
  </Schema>
  <Schema ID="Schema8" Namespace="http://schemas.openxmlformats.org/officeDocument/2006/extended-properties">
    <xsd:schema xmlns:xsd="http://www.w3.org/2001/XMLSchema" xmlns:ns0="http://schemas.openxmlformats.org/officeDocument/2006/extended-properties" xmlns:ns1="http://schemas.openxmlformats.org/officeDocument/2006/docPropsVTypes" xmlns="" targetNamespace="http://schemas.openxmlformats.org/officeDocument/2006/extended-properties">
      <xsd:import namespace="http://schemas.openxmlformats.org/officeDocument/2006/docPropsVTypes"/>
      <xsd:element nillable="true" name="Properties">
        <xsd:complexType>
          <xsd:sequence minOccurs="0">
            <xsd:element minOccurs="0" nillable="true" type="xsd:string" name="Template" form="qualified"/>
            <xsd:element minOccurs="0" nillable="true" type="xsd:integer" name="TotalTime" form="qualified"/>
            <xsd:element minOccurs="0" nillable="true" type="xsd:integer" name="Pages" form="qualified"/>
            <xsd:element minOccurs="0" nillable="true" type="xsd:integer" name="Words" form="qualified"/>
            <xsd:element minOccurs="0" nillable="true" type="xsd:integer" name="Characters" form="qualified"/>
            <xsd:element minOccurs="0" nillable="true" type="xsd:string" name="Application" form="qualified"/>
            <xsd:element minOccurs="0" nillable="true" type="xsd:integer" name="DocSecurity" form="qualified"/>
            <xsd:element minOccurs="0" nillable="true" type="xsd:integer" name="Lines" form="qualified"/>
            <xsd:element minOccurs="0" nillable="true" type="xsd:integer" name="Paragraphs" form="qualified"/>
            <xsd:element minOccurs="0" nillable="true" type="xsd:boolean" name="ScaleCrop" form="qualified"/>
            <xsd:element minOccurs="0" nillable="true" name="HeadingPairs" form="qualified">
              <xsd:complexType>
                <xsd:sequence minOccurs="0">
                  <xsd:element minOccurs="0" ref="ns1:vector"/>
                </xsd:sequence>
              </xsd:complexType>
            </xsd:element>
            <xsd:element minOccurs="0" nillable="true" name="TitlesOfParts" form="qualified">
              <xsd:complexType>
                <xsd:sequence minOccurs="0">
                  <xsd:element minOccurs="0" ref="ns1:vector"/>
                </xsd:sequence>
              </xsd:complexType>
            </xsd:element>
            <xsd:element minOccurs="0" nillable="true" type="xsd:string" name="Company" form="qualified"/>
            <xsd:element minOccurs="0" nillable="true" type="xsd:boolean" name="LinksUpToDate" form="qualified"/>
            <xsd:element minOccurs="0" nillable="true" type="xsd:integer" name="CharactersWithSpaces" form="qualified"/>
            <xsd:element minOccurs="0" nillable="true" type="xsd:boolean" name="SharedDoc" form="qualified"/>
            <xsd:element minOccurs="0" nillable="true" type="xsd:boolean" name="HyperlinksChanged" form="qualified"/>
            <xsd:element minOccurs="0" nillable="true" type="xsd:double" name="AppVersion" form="qualified"/>
          </xsd:sequence>
        </xsd:complexType>
      </xsd:element>
    </xsd:schema>
  </Schema>
  <Schema ID="Schema9" Namespace="http://schemas.openxmlformats.org/officeDocument/2006/docPropsVTypes">
    <xsd:schema xmlns:xsd="http://www.w3.org/2001/XMLSchema" xmlns:ns0="http://schemas.openxmlformats.org/officeDocument/2006/docPropsVTypes" xmlns="" targetNamespace="http://schemas.openxmlformats.org/officeDocument/2006/docPropsVTypes">
      <xsd:element nillable="true" name="vector">
        <xsd:complexType>
          <xsd:sequence minOccurs="0" maxOccurs="unbounded">
            <xsd:element minOccurs="0" maxOccurs="unbounded" nillable="true" name="variant" form="qualified">
              <xsd:complexType>
                <xsd:all>
                  <xsd:element minOccurs="0" nillable="true" type="xsd:string" name="lpstr" form="qualified"/>
                  <xsd:element minOccurs="0" nillable="true" type="xsd:integer" name="i4" form="qualified"/>
                </xsd:all>
              </xsd:complexType>
            </xsd:element>
            <xsd:element minOccurs="0" nillable="true" type="xsd:string" name="lpstr" form="qualified"/>
          </xsd:sequence>
          <xsd:attribute name="size" form="unqualified" type="xsd:integer"/>
          <xsd:attribute name="baseType" form="unqualified" type="xsd:string"/>
        </xsd:complexType>
      </xsd:element>
      <xsd:element nillable="true" type="xsd:string" name="lpwstr"/>
    </xsd:schema>
  </Schema>
  <Schema ID="Schema10" Namespace="http://schemas.openxmlformats.org/officeDocument/2006/custom-properties">
    <xsd:schema xmlns:xsd="http://www.w3.org/2001/XMLSchema" xmlns:ns0="http://schemas.openxmlformats.org/officeDocument/2006/docPropsVTypes" xmlns:ns1="http://schemas.openxmlformats.org/officeDocument/2006/custom-properties" xmlns="" targetNamespace="http://schemas.openxmlformats.org/officeDocument/2006/custom-properties">
      <xsd:import namespace="http://schemas.openxmlformats.org/officeDocument/2006/docPropsVTypes"/>
      <xsd:element nillable="true" name="Properties">
        <xsd:complexType>
          <xsd:sequence minOccurs="0">
            <xsd:element minOccurs="0" nillable="true" name="property" form="qualified">
              <xsd:complexType>
                <xsd:sequence minOccurs="0">
                  <xsd:element minOccurs="0" ref="ns0:lpwstr"/>
                </xsd:sequence>
                <xsd:attribute name="fmtid" form="unqualified" type="xsd:string"/>
                <xsd:attribute name="pid" form="unqualified" type="xsd:integer"/>
                <xsd:attribute name="name" form="unqualified" type="xsd:string"/>
              </xsd:complexType>
            </xsd:element>
          </xsd:sequence>
        </xsd:complexType>
      </xsd:element>
    </xsd:schema>
  </Schema>
  <Schema ID="Schema11" Namespace="http://schemas.openxmlformats.org/markup-compatibility/2006">
    <xsd:schema xmlns:xsd="http://www.w3.org/2001/XMLSchema" xmlns:ns0="http://schemas.openxmlformats.org/markup-compatibility/2006" xmlns="" targetNamespace="http://schemas.openxmlformats.org/markup-compatibility/2006">
      <xsd:attribute name="Ignorable" type="xsd:string"/>
    </xsd:schema>
  </Schema>
  <Schema ID="Schema12" Namespace="http://schemas.openxmlformats.org/drawingml/2006/main">
    <xsd:schema xmlns:xsd="http://www.w3.org/2001/XMLSchema" xmlns:ns0="http://schemas.openxmlformats.org/drawingml/2006/main" xmlns="" targetNamespace="http://schemas.openxmlformats.org/drawingml/2006/main">
      <xsd:element nillable="true" name="theme">
        <xsd:complexType>
          <xsd:sequence minOccurs="0">
            <xsd:element minOccurs="0" nillable="true" name="themeElements" form="qualified">
              <xsd:complexType>
                <xsd:sequence minOccurs="0">
                  <xsd:element minOccurs="0" nillable="true" name="clrScheme" form="qualified">
                    <xsd:complexType>
                      <xsd:sequence minOccurs="0">
                        <xsd:element minOccurs="0" nillable="true" name="dk1" form="qualified">
                          <xsd:complexType>
                            <xsd:sequence minOccurs="0">
                              <xsd:element minOccurs="0" nillable="true" name="sysClr" form="qualified">
                                <xsd:complexType>
                                  <xsd:attribute name="val" form="unqualified" type="xsd:string"/>
                                  <xsd:attribute name="lastClr" form="unqualified" type="xsd:integer"/>
                                </xsd:complexType>
                              </xsd:element>
                            </xsd:sequence>
                          </xsd:complexType>
                        </xsd:element>
                        <xsd:element minOccurs="0" nillable="true" name="lt1" form="qualified">
                          <xsd:complexType>
                            <xsd:sequence minOccurs="0">
                              <xsd:element minOccurs="0" nillable="true" name="sysClr" form="qualified">
                                <xsd:complexType>
                                  <xsd:attribute name="val" form="unqualified" type="xsd:string"/>
                                  <xsd:attribute name="lastClr" form="unqualified" type="xsd:string"/>
                                </xsd:complexType>
                              </xsd:element>
                            </xsd:sequence>
                          </xsd:complexType>
                        </xsd:element>
                        <xsd:element minOccurs="0" nillable="true" name="dk2" form="qualified">
                          <xsd:complexType>
                            <xsd:sequence minOccurs="0">
                              <xsd:element minOccurs="0" nillable="true" name="srgbClr" form="qualified">
                                <xsd:complexType>
                                  <xsd:attribute name="val" form="unqualified" type="xsd:string"/>
                                </xsd:complexType>
                              </xsd:element>
                            </xsd:sequence>
                          </xsd:complexType>
                        </xsd:element>
                        <xsd:element minOccurs="0" nillable="true" name="lt2" form="qualified">
                          <xsd:complexType>
                            <xsd:sequence minOccurs="0">
                              <xsd:element minOccurs="0" nillable="true" name="srgbClr" form="qualified">
                                <xsd:complexType>
                                  <xsd:attribute name="val" form="unqualified" type="xsd:string"/>
                                </xsd:complexType>
                              </xsd:element>
                            </xsd:sequence>
                          </xsd:complexType>
                        </xsd:element>
                        <xsd:element minOccurs="0" nillable="true" name="accent1" form="qualified">
                          <xsd:complexType>
                            <xsd:sequence minOccurs="0">
                              <xsd:element minOccurs="0" nillable="true" name="srgbClr" form="qualified">
                                <xsd:complexType>
                                  <xsd:attribute name="val" form="unqualified" type="xsd:string"/>
                                </xsd:complexType>
                              </xsd:element>
                            </xsd:sequence>
                          </xsd:complexType>
                        </xsd:element>
                        <xsd:element minOccurs="0" nillable="true" name="accent2" form="qualified">
                          <xsd:complexType>
                            <xsd:sequence minOccurs="0">
                              <xsd:element minOccurs="0" nillable="true" name="srgbClr" form="qualified">
                                <xsd:complexType>
                                  <xsd:attribute name="val" form="unqualified" type="xsd:string"/>
                                </xsd:complexType>
                              </xsd:element>
                            </xsd:sequence>
                          </xsd:complexType>
                        </xsd:element>
                        <xsd:element minOccurs="0" nillable="true" name="accent3" form="qualified">
                          <xsd:complexType>
                            <xsd:sequence minOccurs="0">
                              <xsd:element minOccurs="0" nillable="true" name="srgbClr" form="qualified">
                                <xsd:complexType>
                                  <xsd:attribute name="val" form="unqualified" type="xsd:string"/>
                                </xsd:complexType>
                              </xsd:element>
                            </xsd:sequence>
                          </xsd:complexType>
                        </xsd:element>
                        <xsd:element minOccurs="0" nillable="true" name="accent4" form="qualified">
                          <xsd:complexType>
                            <xsd:sequence minOccurs="0">
                              <xsd:element minOccurs="0" nillable="true" name="srgbClr" form="qualified">
                                <xsd:complexType>
                                  <xsd:attribute name="val" form="unqualified" type="xsd:string"/>
                                </xsd:complexType>
                              </xsd:element>
                            </xsd:sequence>
                          </xsd:complexType>
                        </xsd:element>
                        <xsd:element minOccurs="0" nillable="true" name="accent5" form="qualified">
                          <xsd:complexType>
                            <xsd:sequence minOccurs="0">
                              <xsd:element minOccurs="0" nillable="true" name="srgbClr" form="qualified">
                                <xsd:complexType>
                                  <xsd:attribute name="val" form="unqualified" type="xsd:string"/>
                                </xsd:complexType>
                              </xsd:element>
                            </xsd:sequence>
                          </xsd:complexType>
                        </xsd:element>
                        <xsd:element minOccurs="0" nillable="true" name="accent6" form="qualified">
                          <xsd:complexType>
                            <xsd:sequence minOccurs="0">
                              <xsd:element minOccurs="0" nillable="true" name="srgbClr" form="qualified">
                                <xsd:complexType>
                                  <xsd:attribute name="val" form="unqualified" type="xsd:string"/>
                                </xsd:complexType>
                              </xsd:element>
                            </xsd:sequence>
                          </xsd:complexType>
                        </xsd:element>
                        <xsd:element minOccurs="0" nillable="true" name="hlink" form="qualified">
                          <xsd:complexType>
                            <xsd:sequence minOccurs="0">
                              <xsd:element minOccurs="0" nillable="true" name="srgbClr" form="qualified">
                                <xsd:complexType>
                                  <xsd:attribute name="val" form="unqualified" type="xsd:string"/>
                                </xsd:complexType>
                              </xsd:element>
                            </xsd:sequence>
                          </xsd:complexType>
                        </xsd:element>
                        <xsd:element minOccurs="0" nillable="true" name="folHlink" form="qualified">
                          <xsd:complexType>
                            <xsd:sequence minOccurs="0">
                              <xsd:element minOccurs="0" nillable="true" name="srgbClr" form="qualified">
                                <xsd:complexType>
                                  <xsd:attribute name="val" form="unqualified" type="xsd:integer"/>
                                </xsd:complexType>
                              </xsd:element>
                            </xsd:sequence>
                          </xsd:complexType>
                        </xsd:element>
                      </xsd:sequence>
                      <xsd:attribute name="name" form="unqualified" type="xsd:string"/>
                    </xsd:complexType>
                  </xsd:element>
                  <xsd:element minOccurs="0" nillable="true" name="fontScheme" form="qualified">
                    <xsd:complexType>
                      <xsd:sequence minOccurs="0">
                        <xsd:element minOccurs="0" nillable="true" name="majorFont" form="qualified">
                          <xsd:complexType>
                            <xsd:sequence minOccurs="0">
                              <xsd:element minOccurs="0" nillable="true" name="latin" form="qualified">
                                <xsd:complexType>
                                  <xsd:attribute name="typeface" form="unqualified" type="xsd:string"/>
                                </xsd:complexType>
                              </xsd:element>
                              <xsd:element minOccurs="0" nillable="true" name="ea" form="qualified">
                                <xsd:complexType>
                                  <xsd:attribute name="typeface" form="unqualified" type="xsd:string"/>
                                </xsd:complexType>
                              </xsd:element>
                              <xsd:element minOccurs="0" nillable="true" name="cs" form="qualified">
                                <xsd:complexType>
                                  <xsd:attribute name="typeface" form="unqualified" type="xsd:string"/>
                                </xsd:complexType>
                              </xsd:element>
                              <xsd:element minOccurs="0" maxOccurs="unbounded" nillable="true" name="font" form="qualified">
                                <xsd:complexType>
                                  <xsd:attribute name="script" form="unqualified" type="xsd:string"/>
                                  <xsd:attribute name="typeface" form="unqualified" type="xsd:string"/>
                                </xsd:complexType>
                              </xsd:element>
                            </xsd:sequence>
                          </xsd:complexType>
                        </xsd:element>
                        <xsd:element minOccurs="0" nillable="true" name="minorFont" form="qualified">
                          <xsd:complexType>
                            <xsd:sequence minOccurs="0">
                              <xsd:element minOccurs="0" nillable="true" name="latin" form="qualified">
                                <xsd:complexType>
                                  <xsd:attribute name="typeface" form="unqualified" type="xsd:string"/>
                                </xsd:complexType>
                              </xsd:element>
                              <xsd:element minOccurs="0" nillable="true" name="ea" form="qualified">
                                <xsd:complexType>
                                  <xsd:attribute name="typeface" form="unqualified" type="xsd:string"/>
                                </xsd:complexType>
                              </xsd:element>
                              <xsd:element minOccurs="0" nillable="true" name="cs" form="qualified">
                                <xsd:complexType>
                                  <xsd:attribute name="typeface" form="unqualified" type="xsd:string"/>
                                </xsd:complexType>
                              </xsd:element>
                              <xsd:element minOccurs="0" maxOccurs="unbounded" nillable="true" name="font" form="qualified">
                                <xsd:complexType>
                                  <xsd:attribute name="script" form="unqualified" type="xsd:string"/>
                                  <xsd:attribute name="typeface" form="unqualified" type="xsd:string"/>
                                </xsd:complexType>
                              </xsd:element>
                            </xsd:sequence>
                          </xsd:complexType>
                        </xsd:element>
                      </xsd:sequence>
                      <xsd:attribute name="name" form="unqualified" type="xsd:string"/>
                    </xsd:complexType>
                  </xsd:element>
                  <xsd:element minOccurs="0" nillable="true" name="fmtScheme" form="qualified">
                    <xsd:complexType>
                      <xsd:sequence minOccurs="0">
                        <xsd:element minOccurs="0" nillable="true" name="fillStyleLst" form="qualified">
                          <xsd:complexType>
                            <xsd:sequence minOccurs="0">
                              <xsd:element minOccurs="0" nillable="true" name="solidFill" form="qualified">
                                <xsd:complexType>
                                  <xsd:sequence minOccurs="0">
                                    <xsd:element minOccurs="0" nillable="true" name="schemeClr" form="qualified">
                                      <xsd:complexType>
                                        <xsd:attribute name="val" form="unqualified" type="xsd:string"/>
                                      </xsd:complexType>
                                    </xsd:element>
                                  </xsd:sequence>
                                </xsd:complexType>
                              </xsd:element>
                              <xsd:element minOccurs="0" maxOccurs="unbounded" nillable="true" name="gradFill" form="qualified">
                                <xsd:complexType>
                                  <xsd:sequence minOccurs="0">
                                    <xsd:element minOccurs="0" nillable="true" name="gsLst" form="qualified">
                                      <xsd:complexType>
                                        <xsd:sequence minOccurs="0">
                                          <xsd:element minOccurs="0" maxOccurs="unbounded" nillable="true" name="gs" form="qualified">
                                            <xsd:complexType>
                                              <xsd:sequence minOccurs="0">
                                                <xsd:element minOccurs="0" nillable="true" name="schemeClr" form="qualified">
                                                  <xsd:complexType>
                                                    <xsd:all>
                                                      <xsd:element minOccurs="0" nillable="true" name="tint" form="qualified">
                                                        <xsd:complexType>
                                                          <xsd:attribute name="val" form="unqualified" type="xsd:integer"/>
                                                        </xsd:complexType>
                                                      </xsd:element>
                                                      <xsd:element minOccurs="0" nillable="true" name="satMod" form="qualified">
                                                        <xsd:complexType>
                                                          <xsd:attribute name="val" form="unqualified" type="xsd:integer"/>
                                                        </xsd:complexType>
                                                      </xsd:element>
                                                      <xsd:element minOccurs="0" nillable="true" name="shade" form="qualified">
                                                        <xsd:complexType>
                                                          <xsd:attribute name="val" form="unqualified" type="xsd:integer"/>
                                                        </xsd:complexType>
                                                      </xsd:element>
                                                    </xsd:all>
                                                    <xsd:attribute name="val" form="unqualified" type="xsd:string"/>
                                                  </xsd:complexType>
                                                </xsd:element>
                                              </xsd:sequence>
                                              <xsd:attribute name="pos" form="unqualified" type="xsd:integer"/>
                                            </xsd:complexType>
                                          </xsd:element>
                                        </xsd:sequence>
                                      </xsd:complexType>
                                    </xsd:element>
                                    <xsd:element minOccurs="0" nillable="true" name="lin" form="qualified">
                                      <xsd:complexType>
                                        <xsd:attribute name="ang" form="unqualified" type="xsd:integer"/>
                                        <xsd:attribute name="scaled" form="unqualified" type="xsd:integer"/>
                                      </xsd:complexType>
                                    </xsd:element>
                                  </xsd:sequence>
                                  <xsd:attribute name="rotWithShape" form="unqualified" type="xsd:integer"/>
                                </xsd:complexType>
                              </xsd:element>
                            </xsd:sequence>
                          </xsd:complexType>
                        </xsd:element>
                        <xsd:element minOccurs="0" nillable="true" name="lnStyleLst" form="qualified">
                          <xsd:complexType>
                            <xsd:sequence minOccurs="0">
                              <xsd:element minOccurs="0" maxOccurs="unbounded" nillable="true" name="ln" form="qualified">
                                <xsd:complexType>
                                  <xsd:sequence minOccurs="0">
                                    <xsd:element minOccurs="0" nillable="true" name="solidFill" form="qualified">
                                      <xsd:complexType>
                                        <xsd:sequence minOccurs="0">
                                          <xsd:element minOccurs="0" nillable="true" name="schemeClr" form="qualified">
                                            <xsd:complexType>
                                              <xsd:sequence minOccurs="0">
                                                <xsd:element minOccurs="0" nillable="true" name="shade" form="qualified">
                                                  <xsd:complexType>
                                                    <xsd:attribute name="val" form="unqualified" type="xsd:integer"/>
                                                  </xsd:complexType>
                                                </xsd:element>
                                                <xsd:element minOccurs="0" nillable="true" name="satMod" form="qualified">
                                                  <xsd:complexType>
                                                    <xsd:attribute name="val" form="unqualified" type="xsd:integer"/>
                                                  </xsd:complexType>
                                                </xsd:element>
                                              </xsd:sequence>
                                              <xsd:attribute name="val" form="unqualified" type="xsd:string"/>
                                            </xsd:complexType>
                                          </xsd:element>
                                        </xsd:sequence>
                                      </xsd:complexType>
                                    </xsd:element>
                                    <xsd:element minOccurs="0" nillable="true" name="prstDash" form="qualified">
                                      <xsd:complexType>
                                        <xsd:attribute name="val" form="unqualified" type="xsd:string"/>
                                      </xsd:complexType>
                                    </xsd:element>
                                  </xsd:sequence>
                                  <xsd:attribute name="w" form="unqualified" type="xsd:integer"/>
                                  <xsd:attribute name="cap" form="unqualified" type="xsd:string"/>
                                  <xsd:attribute name="cmpd" form="unqualified" type="xsd:string"/>
                                  <xsd:attribute name="algn" form="unqualified" type="xsd:string"/>
                                </xsd:complexType>
                              </xsd:element>
                            </xsd:sequence>
                          </xsd:complexType>
                        </xsd:element>
                        <xsd:element minOccurs="0" nillable="true" name="effectStyleLst" form="qualified">
                          <xsd:complexType>
                            <xsd:sequence minOccurs="0">
                              <xsd:element minOccurs="0" maxOccurs="unbounded" nillable="true" name="effectStyle" form="qualified">
                                <xsd:complexType>
                                  <xsd:sequence minOccurs="0">
                                    <xsd:element minOccurs="0" nillable="true" name="effectLst" form="qualified">
                                      <xsd:complexType>
                                        <xsd:sequence minOccurs="0">
                                          <xsd:element minOccurs="0" nillable="true" name="outerShdw" form="qualified">
                                            <xsd:complexType>
                                              <xsd:sequence minOccurs="0">
                                                <xsd:element minOccurs="0" nillable="true" name="srgbClr" form="qualified">
                                                  <xsd:complexType>
                                                    <xsd:sequence minOccurs="0">
                                                      <xsd:element minOccurs="0" nillable="true" name="alpha" form="qualified">
                                                        <xsd:complexType>
                                                          <xsd:attribute name="val" form="unqualified" type="xsd:integer"/>
                                                        </xsd:complexType>
                                                      </xsd:element>
                                                    </xsd:sequence>
                                                    <xsd:attribute name="val" form="unqualified" type="xsd:integer"/>
                                                  </xsd:complexType>
                                                </xsd:element>
                                              </xsd:sequence>
                                              <xsd:attribute name="blurRad" form="unqualified" type="xsd:integer"/>
                                              <xsd:attribute name="dist" form="unqualified" type="xsd:integer"/>
                                              <xsd:attribute name="dir" form="unqualified" type="xsd:integer"/>
                                              <xsd:attribute name="rotWithShape" form="unqualified" type="xsd:integer"/>
                                            </xsd:complexType>
                                          </xsd:element>
                                        </xsd:sequence>
                                      </xsd:complexType>
                                    </xsd:element>
                                    <xsd:element minOccurs="0" nillable="true" name="scene3d" form="qualified">
                                      <xsd:complexType>
                                        <xsd:sequence minOccurs="0">
                                          <xsd:element minOccurs="0" nillable="true" name="camera" form="qualified">
                                            <xsd:complexType>
                                              <xsd:sequence minOccurs="0">
                                                <xsd:element minOccurs="0" nillable="true" name="rot" form="qualified">
                                                  <xsd:complexType>
                                                    <xsd:attribute name="lat" form="unqualified" type="xsd:integer"/>
                                                    <xsd:attribute name="lon" form="unqualified" type="xsd:integer"/>
                                                    <xsd:attribute name="rev" form="unqualified" type="xsd:integer"/>
                                                  </xsd:complexType>
                                                </xsd:element>
                                              </xsd:sequence>
                                              <xsd:attribute name="prst" form="unqualified" type="xsd:string"/>
                                            </xsd:complexType>
                                          </xsd:element>
                                          <xsd:element minOccurs="0" nillable="true" name="lightRig" form="qualified">
                                            <xsd:complexType>
                                              <xsd:sequence minOccurs="0">
                                                <xsd:element minOccurs="0" nillable="true" name="rot" form="qualified">
                                                  <xsd:complexType>
                                                    <xsd:attribute name="lat" form="unqualified" type="xsd:integer"/>
                                                    <xsd:attribute name="lon" form="unqualified" type="xsd:integer"/>
                                                    <xsd:attribute name="rev" form="unqualified" type="xsd:integer"/>
                                                  </xsd:complexType>
                                                </xsd:element>
                                              </xsd:sequence>
                                              <xsd:attribute name="rig" form="unqualified" type="xsd:string"/>
                                              <xsd:attribute name="dir" form="unqualified" type="xsd:string"/>
                                            </xsd:complexType>
                                          </xsd:element>
                                        </xsd:sequence>
                                      </xsd:complexType>
                                    </xsd:element>
                                    <xsd:element minOccurs="0" nillable="true" name="sp3d" form="qualified">
                                      <xsd:complexType>
                                        <xsd:sequence minOccurs="0">
                                          <xsd:element minOccurs="0" nillable="true" name="bevelT" form="qualified">
                                            <xsd:complexType>
                                              <xsd:attribute name="w" form="unqualified" type="xsd:integer"/>
                                              <xsd:attribute name="h" form="unqualified" type="xsd:integer"/>
                                            </xsd:complexType>
                                          </xsd:element>
                                        </xsd:sequence>
                                      </xsd:complexType>
                                    </xsd:element>
                                  </xsd:sequence>
                                </xsd:complexType>
                              </xsd:element>
                            </xsd:sequence>
                          </xsd:complexType>
                        </xsd:element>
                        <xsd:element minOccurs="0" nillable="true" name="bgFillStyleLst" form="qualified">
                          <xsd:complexType>
                            <xsd:sequence minOccurs="0">
                              <xsd:element minOccurs="0" nillable="true" name="solidFill" form="qualified">
                                <xsd:complexType>
                                  <xsd:sequence minOccurs="0">
                                    <xsd:element minOccurs="0" nillable="true" name="schemeClr" form="qualified">
                                      <xsd:complexType>
                                        <xsd:attribute name="val" form="unqualified" type="xsd:string"/>
                                      </xsd:complexType>
                                    </xsd:element>
                                  </xsd:sequence>
                                </xsd:complexType>
                              </xsd:element>
                              <xsd:element minOccurs="0" maxOccurs="unbounded" nillable="true" name="gradFill" form="qualified">
                                <xsd:complexType>
                                  <xsd:sequence minOccurs="0">
                                    <xsd:element minOccurs="0" nillable="true" name="gsLst" form="qualified">
                                      <xsd:complexType>
                                        <xsd:sequence minOccurs="0">
                                          <xsd:element minOccurs="0" maxOccurs="unbounded" nillable="true" name="gs" form="qualified">
                                            <xsd:complexType>
                                              <xsd:sequence minOccurs="0">
                                                <xsd:element minOccurs="0" nillable="true" name="schemeClr" form="qualified">
                                                  <xsd:complexType>
                                                    <xsd:all>
                                                      <xsd:element minOccurs="0" nillable="true" name="tint" form="qualified">
                                                        <xsd:complexType>
                                                          <xsd:attribute name="val" form="unqualified" type="xsd:integer"/>
                                                        </xsd:complexType>
                                                      </xsd:element>
                                                      <xsd:element minOccurs="0" nillable="true" name="satMod" form="qualified">
                                                        <xsd:complexType>
                                                          <xsd:attribute name="val" form="unqualified" type="xsd:integer"/>
                                                        </xsd:complexType>
                                                      </xsd:element>
                                                      <xsd:element minOccurs="0" nillable="true" name="shade" form="qualified">
                                                        <xsd:complexType>
                                                          <xsd:attribute name="val" form="unqualified" type="xsd:integer"/>
                                                        </xsd:complexType>
                                                      </xsd:element>
                                                    </xsd:all>
                                                    <xsd:attribute name="val" form="unqualified" type="xsd:string"/>
                                                  </xsd:complexType>
                                                </xsd:element>
                                              </xsd:sequence>
                                              <xsd:attribute name="pos" form="unqualified" type="xsd:integer"/>
                                            </xsd:complexType>
                                          </xsd:element>
                                        </xsd:sequence>
                                      </xsd:complexType>
                                    </xsd:element>
                                    <xsd:element minOccurs="0" nillable="true" name="path" form="qualified">
                                      <xsd:complexType>
                                        <xsd:sequence minOccurs="0">
                                          <xsd:element minOccurs="0" nillable="true" name="fillToRect" form="qualified">
                                            <xsd:complexType>
                                              <xsd:attribute name="l" form="unqualified" type="xsd:integer"/>
                                              <xsd:attribute name="t" form="unqualified" type="xsd:integer"/>
                                              <xsd:attribute name="r" form="unqualified" type="xsd:integer"/>
                                              <xsd:attribute name="b" form="unqualified" type="xsd:integer"/>
                                            </xsd:complexType>
                                          </xsd:element>
                                        </xsd:sequence>
                                        <xsd:attribute name="path" form="unqualified" type="xsd:string"/>
                                      </xsd:complexType>
                                    </xsd:element>
                                  </xsd:sequence>
                                  <xsd:attribute name="rotWithShape" form="unqualified" type="xsd:integer"/>
                                </xsd:complexType>
                              </xsd:element>
                            </xsd:sequence>
                          </xsd:complexType>
                        </xsd:element>
                      </xsd:sequence>
                      <xsd:attribute name="name" form="unqualified" type="xsd:string"/>
                    </xsd:complexType>
                  </xsd:element>
                </xsd:sequence>
              </xsd:complexType>
            </xsd:element>
            <xsd:element minOccurs="0" nillable="true" type="xsd:string" name="objectDefaults" form="qualified"/>
            <xsd:element minOccurs="0" nillable="true" type="xsd:string" name="extraClrSchemeLst" form="qualified"/>
          </xsd:sequence>
          <xsd:attribute name="name" form="unqualified" type="xsd:string"/>
        </xsd:complexType>
      </xsd:element>
    </xsd:schema>
  </Schema>
  <Schema ID="Schema13" Namespace="http://purl.org/dc/terms/">
    <xsd:schema xmlns:xsd="http://www.w3.org/2001/XMLSchema" xmlns:ns0="http://purl.org/dc/terms/" xmlns="" targetNamespace="http://purl.org/dc/terms/">
      <xsd:element nillable="true" type="xsd:dateTime" name="created"/>
      <xsd:element nillable="true" type="xsd:dateTime" name="modified"/>
    </xsd:schema>
  </Schema>
  <Schema ID="Schema14" Namespace="http://purl.org/dc/elements/1.1/">
    <xsd:schema xmlns:xsd="http://www.w3.org/2001/XMLSchema" xmlns:ns0="http://purl.org/dc/elements/1.1/" xmlns="" targetNamespace="http://purl.org/dc/elements/1.1/">
      <xsd:element nillable="true" type="xsd:string" name="title"/>
      <xsd:element nillable="true" type="xsd:string" name="subject"/>
      <xsd:element nillable="true" type="xsd:string" name="creator"/>
      <xsd:element nillable="true" type="xsd:string" name="description"/>
    </xsd:schema>
  </Schema>
  <Schema ID="Schema15" SchemaRef="Schema1 Schema2 Schema3 Schema4 Schema5 Schema6 Schema7 Schema8 Schema9 Schema10 Schema11 Schema12 Schema13 Schema14" Namespace="http://schemas.microsoft.com/office/2006/xmlPackage">
    <xsd:schema xmlns:xsd="http://www.w3.org/2001/XMLSchema" xmlns:ns0="http://schemas.openxmlformats.org/wordprocessingml/2006/main" xmlns:ns1="http://schemas.openxmlformats.org/package/2006/relationships" xmlns:ns2="http://schemas.openxmlformats.org/package/2006/metadata/core-properties" xmlns:ns3="http://schemas.openxmlformats.org/officeDocument/2006/extended-properties" xmlns:ns4="http://schemas.openxmlformats.org/officeDocument/2006/custom-properties" xmlns:ns5="http://schemas.openxmlformats.org/drawingml/2006/main" xmlns:ns6="http://schemas.microsoft.com/office/2006/xmlPackage" xmlns="" targetNamespace="http://schemas.microsoft.com/office/2006/xmlPackage">
      <xsd:import namespace="http://schemas.openxmlformats.org/wordprocessingml/2006/main"/>
      <xsd:import namespace="http://schemas.openxmlformats.org/package/2006/relationships"/>
      <xsd:import namespace="http://schemas.openxmlformats.org/package/2006/metadata/core-properties"/>
      <xsd:import namespace="http://schemas.openxmlformats.org/officeDocument/2006/extended-properties"/>
      <xsd:import namespace="http://schemas.openxmlformats.org/officeDocument/2006/custom-properties"/>
      <xsd:import namespace="http://schemas.openxmlformats.org/drawingml/2006/main"/>
      <xsd:element nillable="true" name="package">
        <xsd:complexType>
          <xsd:sequence minOccurs="0">
            <xsd:element minOccurs="0" maxOccurs="unbounded" nillable="true" name="part" form="qualified">
              <xsd:complexType>
                <xsd:sequence minOccurs="0">
                  <xsd:element minOccurs="0" nillable="true" name="xmlData" form="qualified">
                    <xsd:complexType>
                      <xsd:all>
                        <xsd:element minOccurs="0" ref="ns1:Relationships"/>
                        <xsd:element minOccurs="0" ref="ns0:document"/>
                        <xsd:element minOccurs="0" ref="ns5:theme"/>
                        <xsd:element minOccurs="0" ref="ns0:settings"/>
                        <xsd:element minOccurs="0" ref="ns0:fonts"/>
                        <xsd:element minOccurs="0" ref="ns0:webSettings"/>
                        <xsd:element minOccurs="0" ref="ns3:Properties"/>
                        <xsd:element minOccurs="0" ref="ns0:styles"/>
                        <xsd:element minOccurs="0" ref="ns2:coreProperties"/>
                        <xsd:element minOccurs="0" ref="ns4:Properties"/>
                      </xsd:all>
                    </xsd:complexType>
                  </xsd:element>
                </xsd:sequence>
                <xsd:attribute ref="ns6:name"/>
                <xsd:attribute ref="ns6:contentType"/>
                <xsd:attribute ref="ns6:padding"/>
              </xsd:complexType>
            </xsd:element>
          </xsd:sequence>
        </xsd:complexType>
      </xsd:element>
      <xsd:attribute name="name" type="xsd:string"/>
      <xsd:attribute name="contentType" type="xsd:string"/>
      <xsd:attribute name="padding" type="xsd:integer"/>
    </xsd:schema>
  </Schema>
  <Map ID="1" Name="package_Map" RootElement="package" SchemaID="Schema15"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18"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checked="Checked"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checked="Checked"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checked="Checked"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checked="Checked"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checked="Checked"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checked="Checked"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checked="Checked"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checked="Checked"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checked="Checked"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checked="Checked"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checked="Checked"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checked="Checked"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checked="Checked"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checked="Checked"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lockText="1" noThreeD="1"/>
</file>

<file path=xl/ctrlProps/ctrlProp131.xml><?xml version="1.0" encoding="utf-8"?>
<formControlPr xmlns="http://schemas.microsoft.com/office/spreadsheetml/2009/9/main" objectType="CheckBox" checked="Checked" lockText="1" noThreeD="1"/>
</file>

<file path=xl/ctrlProps/ctrlProp132.xml><?xml version="1.0" encoding="utf-8"?>
<formControlPr xmlns="http://schemas.microsoft.com/office/spreadsheetml/2009/9/main" objectType="CheckBox" lockText="1" noThreeD="1"/>
</file>

<file path=xl/ctrlProps/ctrlProp133.xml><?xml version="1.0" encoding="utf-8"?>
<formControlPr xmlns="http://schemas.microsoft.com/office/spreadsheetml/2009/9/main" objectType="CheckBox" checked="Checked"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checked="Checked" lockText="1" noThreeD="1"/>
</file>

<file path=xl/ctrlProps/ctrlProp138.xml><?xml version="1.0" encoding="utf-8"?>
<formControlPr xmlns="http://schemas.microsoft.com/office/spreadsheetml/2009/9/main" objectType="CheckBox" lockText="1" noThreeD="1"/>
</file>

<file path=xl/ctrlProps/ctrlProp139.xml><?xml version="1.0" encoding="utf-8"?>
<formControlPr xmlns="http://schemas.microsoft.com/office/spreadsheetml/2009/9/main" objectType="CheckBox" checked="Checked"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checked="Checked" lockText="1" noThreeD="1"/>
</file>

<file path=xl/ctrlProps/ctrlProp144.xml><?xml version="1.0" encoding="utf-8"?>
<formControlPr xmlns="http://schemas.microsoft.com/office/spreadsheetml/2009/9/main" objectType="CheckBox" lockText="1" noThreeD="1"/>
</file>

<file path=xl/ctrlProps/ctrlProp145.xml><?xml version="1.0" encoding="utf-8"?>
<formControlPr xmlns="http://schemas.microsoft.com/office/spreadsheetml/2009/9/main" objectType="CheckBox" checked="Checked"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lockText="1" noThreeD="1"/>
</file>

<file path=xl/ctrlProps/ctrlProp148.xml><?xml version="1.0" encoding="utf-8"?>
<formControlPr xmlns="http://schemas.microsoft.com/office/spreadsheetml/2009/9/main" objectType="CheckBox"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lockText="1" noThreeD="1"/>
</file>

<file path=xl/ctrlProps/ctrlProp151.xml><?xml version="1.0" encoding="utf-8"?>
<formControlPr xmlns="http://schemas.microsoft.com/office/spreadsheetml/2009/9/main" objectType="CheckBox"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lockText="1" noThreeD="1"/>
</file>

<file path=xl/ctrlProps/ctrlProp154.xml><?xml version="1.0" encoding="utf-8"?>
<formControlPr xmlns="http://schemas.microsoft.com/office/spreadsheetml/2009/9/main" objectType="CheckBox"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lockText="1" noThreeD="1"/>
</file>

<file path=xl/ctrlProps/ctrlProp157.xml><?xml version="1.0" encoding="utf-8"?>
<formControlPr xmlns="http://schemas.microsoft.com/office/spreadsheetml/2009/9/main" objectType="CheckBox"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lockText="1" noThreeD="1"/>
</file>

<file path=xl/ctrlProps/ctrlProp160.xml><?xml version="1.0" encoding="utf-8"?>
<formControlPr xmlns="http://schemas.microsoft.com/office/spreadsheetml/2009/9/main" objectType="CheckBox"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lockText="1" noThreeD="1"/>
</file>

<file path=xl/ctrlProps/ctrlProp163.xml><?xml version="1.0" encoding="utf-8"?>
<formControlPr xmlns="http://schemas.microsoft.com/office/spreadsheetml/2009/9/main" objectType="CheckBox"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ctrlProps/ctrlProp168.xml><?xml version="1.0" encoding="utf-8"?>
<formControlPr xmlns="http://schemas.microsoft.com/office/spreadsheetml/2009/9/main" objectType="CheckBox" checked="Checked" lockText="1" noThreeD="1"/>
</file>

<file path=xl/ctrlProps/ctrlProp169.xml><?xml version="1.0" encoding="utf-8"?>
<formControlPr xmlns="http://schemas.microsoft.com/office/spreadsheetml/2009/9/main" objectType="CheckBox" lockText="1" noThreeD="1"/>
</file>

<file path=xl/ctrlProps/ctrlProp170.xml><?xml version="1.0" encoding="utf-8"?>
<formControlPr xmlns="http://schemas.microsoft.com/office/spreadsheetml/2009/9/main" objectType="CheckBox" checked="Checked" lockText="1" noThreeD="1"/>
</file>

<file path=xl/ctrlProps/ctrlProp171.xml><?xml version="1.0" encoding="utf-8"?>
<formControlPr xmlns="http://schemas.microsoft.com/office/spreadsheetml/2009/9/main" objectType="CheckBox" lockText="1" noThreeD="1"/>
</file>

<file path=xl/ctrlProps/ctrlProp172.xml><?xml version="1.0" encoding="utf-8"?>
<formControlPr xmlns="http://schemas.microsoft.com/office/spreadsheetml/2009/9/main" objectType="CheckBox" checked="Checked" lockText="1" noThreeD="1"/>
</file>

<file path=xl/ctrlProps/ctrlProp173.xml><?xml version="1.0" encoding="utf-8"?>
<formControlPr xmlns="http://schemas.microsoft.com/office/spreadsheetml/2009/9/main" objectType="CheckBox" lockText="1" noThreeD="1"/>
</file>

<file path=xl/ctrlProps/ctrlProp174.xml><?xml version="1.0" encoding="utf-8"?>
<formControlPr xmlns="http://schemas.microsoft.com/office/spreadsheetml/2009/9/main" objectType="CheckBox" checked="Checked" lockText="1" noThreeD="1"/>
</file>

<file path=xl/ctrlProps/ctrlProp175.xml><?xml version="1.0" encoding="utf-8"?>
<formControlPr xmlns="http://schemas.microsoft.com/office/spreadsheetml/2009/9/main" objectType="CheckBox" lockText="1" noThreeD="1"/>
</file>

<file path=xl/ctrlProps/ctrlProp176.xml><?xml version="1.0" encoding="utf-8"?>
<formControlPr xmlns="http://schemas.microsoft.com/office/spreadsheetml/2009/9/main" objectType="CheckBox" checked="Checked" lockText="1" noThreeD="1"/>
</file>

<file path=xl/ctrlProps/ctrlProp177.xml><?xml version="1.0" encoding="utf-8"?>
<formControlPr xmlns="http://schemas.microsoft.com/office/spreadsheetml/2009/9/main" objectType="CheckBox" lockText="1" noThreeD="1"/>
</file>

<file path=xl/ctrlProps/ctrlProp178.xml><?xml version="1.0" encoding="utf-8"?>
<formControlPr xmlns="http://schemas.microsoft.com/office/spreadsheetml/2009/9/main" objectType="CheckBox" checked="Checked" lockText="1" noThreeD="1"/>
</file>

<file path=xl/ctrlProps/ctrlProp179.xml><?xml version="1.0" encoding="utf-8"?>
<formControlPr xmlns="http://schemas.microsoft.com/office/spreadsheetml/2009/9/main" objectType="CheckBox" lockText="1" noThreeD="1"/>
</file>

<file path=xl/ctrlProps/ctrlProp180.xml><?xml version="1.0" encoding="utf-8"?>
<formControlPr xmlns="http://schemas.microsoft.com/office/spreadsheetml/2009/9/main" objectType="CheckBox" checked="Checked" lockText="1" noThreeD="1"/>
</file>

<file path=xl/ctrlProps/ctrlProp181.xml><?xml version="1.0" encoding="utf-8"?>
<formControlPr xmlns="http://schemas.microsoft.com/office/spreadsheetml/2009/9/main" objectType="CheckBox" lockText="1" noThreeD="1"/>
</file>

<file path=xl/ctrlProps/ctrlProp182.xml><?xml version="1.0" encoding="utf-8"?>
<formControlPr xmlns="http://schemas.microsoft.com/office/spreadsheetml/2009/9/main" objectType="CheckBox" checked="Checked" lockText="1" noThreeD="1"/>
</file>

<file path=xl/ctrlProps/ctrlProp183.xml><?xml version="1.0" encoding="utf-8"?>
<formControlPr xmlns="http://schemas.microsoft.com/office/spreadsheetml/2009/9/main" objectType="CheckBox" lockText="1" noThreeD="1"/>
</file>

<file path=xl/ctrlProps/ctrlProp184.xml><?xml version="1.0" encoding="utf-8"?>
<formControlPr xmlns="http://schemas.microsoft.com/office/spreadsheetml/2009/9/main" objectType="CheckBox" checked="Checked" lockText="1" noThreeD="1"/>
</file>

<file path=xl/ctrlProps/ctrlProp185.xml><?xml version="1.0" encoding="utf-8"?>
<formControlPr xmlns="http://schemas.microsoft.com/office/spreadsheetml/2009/9/main" objectType="CheckBox" lockText="1" noThreeD="1"/>
</file>

<file path=xl/ctrlProps/ctrlProp186.xml><?xml version="1.0" encoding="utf-8"?>
<formControlPr xmlns="http://schemas.microsoft.com/office/spreadsheetml/2009/9/main" objectType="CheckBox" checked="Checked" lockText="1" noThreeD="1"/>
</file>

<file path=xl/ctrlProps/ctrlProp187.xml><?xml version="1.0" encoding="utf-8"?>
<formControlPr xmlns="http://schemas.microsoft.com/office/spreadsheetml/2009/9/main" objectType="CheckBox" lockText="1" noThreeD="1"/>
</file>

<file path=xl/ctrlProps/ctrlProp188.xml><?xml version="1.0" encoding="utf-8"?>
<formControlPr xmlns="http://schemas.microsoft.com/office/spreadsheetml/2009/9/main" objectType="CheckBox" checked="Checked" lockText="1" noThreeD="1"/>
</file>

<file path=xl/ctrlProps/ctrlProp189.xml><?xml version="1.0" encoding="utf-8"?>
<formControlPr xmlns="http://schemas.microsoft.com/office/spreadsheetml/2009/9/main" objectType="CheckBox" lockText="1" noThreeD="1"/>
</file>

<file path=xl/ctrlProps/ctrlProp190.xml><?xml version="1.0" encoding="utf-8"?>
<formControlPr xmlns="http://schemas.microsoft.com/office/spreadsheetml/2009/9/main" objectType="CheckBox" checked="Checked" lockText="1" noThreeD="1"/>
</file>

<file path=xl/ctrlProps/ctrlProp191.xml><?xml version="1.0" encoding="utf-8"?>
<formControlPr xmlns="http://schemas.microsoft.com/office/spreadsheetml/2009/9/main" objectType="CheckBox" lockText="1" noThreeD="1"/>
</file>

<file path=xl/ctrlProps/ctrlProp192.xml><?xml version="1.0" encoding="utf-8"?>
<formControlPr xmlns="http://schemas.microsoft.com/office/spreadsheetml/2009/9/main" objectType="CheckBox" checked="Checked" lockText="1" noThreeD="1"/>
</file>

<file path=xl/ctrlProps/ctrlProp193.xml><?xml version="1.0" encoding="utf-8"?>
<formControlPr xmlns="http://schemas.microsoft.com/office/spreadsheetml/2009/9/main" objectType="CheckBox" lockText="1" noThreeD="1"/>
</file>

<file path=xl/ctrlProps/ctrlProp194.xml><?xml version="1.0" encoding="utf-8"?>
<formControlPr xmlns="http://schemas.microsoft.com/office/spreadsheetml/2009/9/main" objectType="CheckBox" checked="Checked" lockText="1" noThreeD="1"/>
</file>

<file path=xl/ctrlProps/ctrlProp195.xml><?xml version="1.0" encoding="utf-8"?>
<formControlPr xmlns="http://schemas.microsoft.com/office/spreadsheetml/2009/9/main" objectType="CheckBox" lockText="1" noThreeD="1"/>
</file>

<file path=xl/ctrlProps/ctrlProp196.xml><?xml version="1.0" encoding="utf-8"?>
<formControlPr xmlns="http://schemas.microsoft.com/office/spreadsheetml/2009/9/main" objectType="CheckBox" lockText="1" noThreeD="1"/>
</file>

<file path=xl/ctrlProps/ctrlProp197.xml><?xml version="1.0" encoding="utf-8"?>
<formControlPr xmlns="http://schemas.microsoft.com/office/spreadsheetml/2009/9/main" objectType="CheckBox" lockText="1" noThreeD="1"/>
</file>

<file path=xl/ctrlProps/ctrlProp198.xml><?xml version="1.0" encoding="utf-8"?>
<formControlPr xmlns="http://schemas.microsoft.com/office/spreadsheetml/2009/9/main" objectType="CheckBox" lockText="1" noThreeD="1"/>
</file>

<file path=xl/ctrlProps/ctrlProp199.xml><?xml version="1.0" encoding="utf-8"?>
<formControlPr xmlns="http://schemas.microsoft.com/office/spreadsheetml/2009/9/main" objectType="CheckBox" lockText="1" noThreeD="1"/>
</file>

<file path=xl/ctrlProps/ctrlProp200.xml><?xml version="1.0" encoding="utf-8"?>
<formControlPr xmlns="http://schemas.microsoft.com/office/spreadsheetml/2009/9/main" objectType="CheckBox" lockText="1" noThreeD="1"/>
</file>

<file path=xl/ctrlProps/ctrlProp201.xml><?xml version="1.0" encoding="utf-8"?>
<formControlPr xmlns="http://schemas.microsoft.com/office/spreadsheetml/2009/9/main" objectType="CheckBox" lockText="1" noThreeD="1"/>
</file>

<file path=xl/ctrlProps/ctrlProp202.xml><?xml version="1.0" encoding="utf-8"?>
<formControlPr xmlns="http://schemas.microsoft.com/office/spreadsheetml/2009/9/main" objectType="CheckBox" lockText="1" noThreeD="1"/>
</file>

<file path=xl/ctrlProps/ctrlProp203.xml><?xml version="1.0" encoding="utf-8"?>
<formControlPr xmlns="http://schemas.microsoft.com/office/spreadsheetml/2009/9/main" objectType="CheckBox" lockText="1" noThreeD="1"/>
</file>

<file path=xl/ctrlProps/ctrlProp204.xml><?xml version="1.0" encoding="utf-8"?>
<formControlPr xmlns="http://schemas.microsoft.com/office/spreadsheetml/2009/9/main" objectType="CheckBox" lockText="1" noThreeD="1"/>
</file>

<file path=xl/ctrlProps/ctrlProp205.xml><?xml version="1.0" encoding="utf-8"?>
<formControlPr xmlns="http://schemas.microsoft.com/office/spreadsheetml/2009/9/main" objectType="CheckBox" lockText="1" noThreeD="1"/>
</file>

<file path=xl/ctrlProps/ctrlProp206.xml><?xml version="1.0" encoding="utf-8"?>
<formControlPr xmlns="http://schemas.microsoft.com/office/spreadsheetml/2009/9/main" objectType="CheckBox" lockText="1" noThreeD="1"/>
</file>

<file path=xl/ctrlProps/ctrlProp207.xml><?xml version="1.0" encoding="utf-8"?>
<formControlPr xmlns="http://schemas.microsoft.com/office/spreadsheetml/2009/9/main" objectType="CheckBox" lockText="1" noThreeD="1"/>
</file>

<file path=xl/ctrlProps/ctrlProp208.xml><?xml version="1.0" encoding="utf-8"?>
<formControlPr xmlns="http://schemas.microsoft.com/office/spreadsheetml/2009/9/main" objectType="CheckBox" lockText="1" noThreeD="1"/>
</file>

<file path=xl/ctrlProps/ctrlProp209.xml><?xml version="1.0" encoding="utf-8"?>
<formControlPr xmlns="http://schemas.microsoft.com/office/spreadsheetml/2009/9/main" objectType="CheckBox" lockText="1" noThreeD="1"/>
</file>

<file path=xl/ctrlProps/ctrlProp210.xml><?xml version="1.0" encoding="utf-8"?>
<formControlPr xmlns="http://schemas.microsoft.com/office/spreadsheetml/2009/9/main" objectType="CheckBox" lockText="1" noThreeD="1"/>
</file>

<file path=xl/ctrlProps/ctrlProp211.xml><?xml version="1.0" encoding="utf-8"?>
<formControlPr xmlns="http://schemas.microsoft.com/office/spreadsheetml/2009/9/main" objectType="CheckBox" lockText="1" noThreeD="1"/>
</file>

<file path=xl/ctrlProps/ctrlProp212.xml><?xml version="1.0" encoding="utf-8"?>
<formControlPr xmlns="http://schemas.microsoft.com/office/spreadsheetml/2009/9/main" objectType="CheckBox" lockText="1" noThreeD="1"/>
</file>

<file path=xl/ctrlProps/ctrlProp213.xml><?xml version="1.0" encoding="utf-8"?>
<formControlPr xmlns="http://schemas.microsoft.com/office/spreadsheetml/2009/9/main" objectType="CheckBox" lockText="1" noThreeD="1"/>
</file>

<file path=xl/ctrlProps/ctrlProp214.xml><?xml version="1.0" encoding="utf-8"?>
<formControlPr xmlns="http://schemas.microsoft.com/office/spreadsheetml/2009/9/main" objectType="CheckBox" checked="Checked" lockText="1" noThreeD="1"/>
</file>

<file path=xl/ctrlProps/ctrlProp215.xml><?xml version="1.0" encoding="utf-8"?>
<formControlPr xmlns="http://schemas.microsoft.com/office/spreadsheetml/2009/9/main" objectType="CheckBox" checked="Checked" lockText="1" noThreeD="1"/>
</file>

<file path=xl/ctrlProps/ctrlProp216.xml><?xml version="1.0" encoding="utf-8"?>
<formControlPr xmlns="http://schemas.microsoft.com/office/spreadsheetml/2009/9/main" objectType="CheckBox" checked="Checked" lockText="1" noThreeD="1"/>
</file>

<file path=xl/ctrlProps/ctrlProp217.xml><?xml version="1.0" encoding="utf-8"?>
<formControlPr xmlns="http://schemas.microsoft.com/office/spreadsheetml/2009/9/main" objectType="CheckBox" checked="Checked" lockText="1" noThreeD="1"/>
</file>

<file path=xl/ctrlProps/ctrlProp218.xml><?xml version="1.0" encoding="utf-8"?>
<formControlPr xmlns="http://schemas.microsoft.com/office/spreadsheetml/2009/9/main" objectType="CheckBox" checked="Checked" lockText="1" noThreeD="1"/>
</file>

<file path=xl/ctrlProps/ctrlProp219.xml><?xml version="1.0" encoding="utf-8"?>
<formControlPr xmlns="http://schemas.microsoft.com/office/spreadsheetml/2009/9/main" objectType="CheckBox" checked="Checked" lockText="1" noThreeD="1"/>
</file>

<file path=xl/ctrlProps/ctrlProp220.xml><?xml version="1.0" encoding="utf-8"?>
<formControlPr xmlns="http://schemas.microsoft.com/office/spreadsheetml/2009/9/main" objectType="CheckBox" checked="Checked" lockText="1" noThreeD="1"/>
</file>

<file path=xl/ctrlProps/ctrlProp221.xml><?xml version="1.0" encoding="utf-8"?>
<formControlPr xmlns="http://schemas.microsoft.com/office/spreadsheetml/2009/9/main" objectType="CheckBox" checked="Checked" lockText="1" noThreeD="1"/>
</file>

<file path=xl/ctrlProps/ctrlProp222.xml><?xml version="1.0" encoding="utf-8"?>
<formControlPr xmlns="http://schemas.microsoft.com/office/spreadsheetml/2009/9/main" objectType="CheckBox" checked="Checked" lockText="1" noThreeD="1"/>
</file>

<file path=xl/ctrlProps/ctrlProp223.xml><?xml version="1.0" encoding="utf-8"?>
<formControlPr xmlns="http://schemas.microsoft.com/office/spreadsheetml/2009/9/main" objectType="CheckBox" checked="Checked" lockText="1" noThreeD="1"/>
</file>

<file path=xl/ctrlProps/ctrlProp224.xml><?xml version="1.0" encoding="utf-8"?>
<formControlPr xmlns="http://schemas.microsoft.com/office/spreadsheetml/2009/9/main" objectType="CheckBox" checked="Checked" lockText="1" noThreeD="1"/>
</file>

<file path=xl/ctrlProps/ctrlProp225.xml><?xml version="1.0" encoding="utf-8"?>
<formControlPr xmlns="http://schemas.microsoft.com/office/spreadsheetml/2009/9/main" objectType="CheckBox" checked="Checked" lockText="1" noThreeD="1"/>
</file>

<file path=xl/ctrlProps/ctrlProp226.xml><?xml version="1.0" encoding="utf-8"?>
<formControlPr xmlns="http://schemas.microsoft.com/office/spreadsheetml/2009/9/main" objectType="CheckBox" checked="Checked" lockText="1" noThreeD="1"/>
</file>

<file path=xl/ctrlProps/ctrlProp227.xml><?xml version="1.0" encoding="utf-8"?>
<formControlPr xmlns="http://schemas.microsoft.com/office/spreadsheetml/2009/9/main" objectType="CheckBox" checked="Checked" lockText="1" noThreeD="1"/>
</file>

<file path=xl/ctrlProps/ctrlProp228.xml><?xml version="1.0" encoding="utf-8"?>
<formControlPr xmlns="http://schemas.microsoft.com/office/spreadsheetml/2009/9/main" objectType="CheckBox" checked="Checked" lockText="1" noThreeD="1"/>
</file>

<file path=xl/ctrlProps/ctrlProp229.xml><?xml version="1.0" encoding="utf-8"?>
<formControlPr xmlns="http://schemas.microsoft.com/office/spreadsheetml/2009/9/main" objectType="CheckBox" checked="Checked" lockText="1" noThreeD="1"/>
</file>

<file path=xl/ctrlProps/ctrlProp230.xml><?xml version="1.0" encoding="utf-8"?>
<formControlPr xmlns="http://schemas.microsoft.com/office/spreadsheetml/2009/9/main" objectType="CheckBox" checked="Checked" lockText="1" noThreeD="1"/>
</file>

<file path=xl/ctrlProps/ctrlProp231.xml><?xml version="1.0" encoding="utf-8"?>
<formControlPr xmlns="http://schemas.microsoft.com/office/spreadsheetml/2009/9/main" objectType="CheckBox" checked="Checked" lockText="1" noThreeD="1"/>
</file>

<file path=xl/ctrlProps/ctrlProp232.xml><?xml version="1.0" encoding="utf-8"?>
<formControlPr xmlns="http://schemas.microsoft.com/office/spreadsheetml/2009/9/main" objectType="CheckBox" checked="Checked" lockText="1" noThreeD="1"/>
</file>

<file path=xl/ctrlProps/ctrlProp233.xml><?xml version="1.0" encoding="utf-8"?>
<formControlPr xmlns="http://schemas.microsoft.com/office/spreadsheetml/2009/9/main" objectType="CheckBox" lockText="1" noThreeD="1"/>
</file>

<file path=xl/ctrlProps/ctrlProp234.xml><?xml version="1.0" encoding="utf-8"?>
<formControlPr xmlns="http://schemas.microsoft.com/office/spreadsheetml/2009/9/main" objectType="CheckBox" lockText="1" noThreeD="1"/>
</file>

<file path=xl/ctrlProps/ctrlProp235.xml><?xml version="1.0" encoding="utf-8"?>
<formControlPr xmlns="http://schemas.microsoft.com/office/spreadsheetml/2009/9/main" objectType="CheckBox" lockText="1" noThreeD="1"/>
</file>

<file path=xl/ctrlProps/ctrlProp236.xml><?xml version="1.0" encoding="utf-8"?>
<formControlPr xmlns="http://schemas.microsoft.com/office/spreadsheetml/2009/9/main" objectType="CheckBox" lockText="1" noThreeD="1"/>
</file>

<file path=xl/ctrlProps/ctrlProp237.xml><?xml version="1.0" encoding="utf-8"?>
<formControlPr xmlns="http://schemas.microsoft.com/office/spreadsheetml/2009/9/main" objectType="CheckBox" lockText="1" noThreeD="1"/>
</file>

<file path=xl/ctrlProps/ctrlProp238.xml><?xml version="1.0" encoding="utf-8"?>
<formControlPr xmlns="http://schemas.microsoft.com/office/spreadsheetml/2009/9/main" objectType="CheckBox" lockText="1" noThreeD="1"/>
</file>

<file path=xl/ctrlProps/ctrlProp239.xml><?xml version="1.0" encoding="utf-8"?>
<formControlPr xmlns="http://schemas.microsoft.com/office/spreadsheetml/2009/9/main" objectType="CheckBox" lockText="1" noThreeD="1"/>
</file>

<file path=xl/ctrlProps/ctrlProp240.xml><?xml version="1.0" encoding="utf-8"?>
<formControlPr xmlns="http://schemas.microsoft.com/office/spreadsheetml/2009/9/main" objectType="CheckBox" lockText="1" noThreeD="1"/>
</file>

<file path=xl/ctrlProps/ctrlProp241.xml><?xml version="1.0" encoding="utf-8"?>
<formControlPr xmlns="http://schemas.microsoft.com/office/spreadsheetml/2009/9/main" objectType="CheckBox" lockText="1" noThreeD="1"/>
</file>

<file path=xl/ctrlProps/ctrlProp242.xml><?xml version="1.0" encoding="utf-8"?>
<formControlPr xmlns="http://schemas.microsoft.com/office/spreadsheetml/2009/9/main" objectType="CheckBox" lockText="1" noThreeD="1"/>
</file>

<file path=xl/ctrlProps/ctrlProp243.xml><?xml version="1.0" encoding="utf-8"?>
<formControlPr xmlns="http://schemas.microsoft.com/office/spreadsheetml/2009/9/main" objectType="CheckBox" lockText="1" noThreeD="1"/>
</file>

<file path=xl/ctrlProps/ctrlProp244.xml><?xml version="1.0" encoding="utf-8"?>
<formControlPr xmlns="http://schemas.microsoft.com/office/spreadsheetml/2009/9/main" objectType="CheckBox" lockText="1" noThreeD="1"/>
</file>

<file path=xl/ctrlProps/ctrlProp245.xml><?xml version="1.0" encoding="utf-8"?>
<formControlPr xmlns="http://schemas.microsoft.com/office/spreadsheetml/2009/9/main" objectType="CheckBox" lockText="1" noThreeD="1"/>
</file>

<file path=xl/ctrlProps/ctrlProp246.xml><?xml version="1.0" encoding="utf-8"?>
<formControlPr xmlns="http://schemas.microsoft.com/office/spreadsheetml/2009/9/main" objectType="CheckBox" lockText="1" noThreeD="1"/>
</file>

<file path=xl/ctrlProps/ctrlProp247.xml><?xml version="1.0" encoding="utf-8"?>
<formControlPr xmlns="http://schemas.microsoft.com/office/spreadsheetml/2009/9/main" objectType="CheckBox" lockText="1" noThreeD="1"/>
</file>

<file path=xl/ctrlProps/ctrlProp248.xml><?xml version="1.0" encoding="utf-8"?>
<formControlPr xmlns="http://schemas.microsoft.com/office/spreadsheetml/2009/9/main" objectType="CheckBox" lockText="1" noThreeD="1"/>
</file>

<file path=xl/ctrlProps/ctrlProp249.xml><?xml version="1.0" encoding="utf-8"?>
<formControlPr xmlns="http://schemas.microsoft.com/office/spreadsheetml/2009/9/main" objectType="CheckBox" lockText="1" noThreeD="1"/>
</file>

<file path=xl/ctrlProps/ctrlProp250.xml><?xml version="1.0" encoding="utf-8"?>
<formControlPr xmlns="http://schemas.microsoft.com/office/spreadsheetml/2009/9/main" objectType="CheckBox" lockText="1" noThreeD="1"/>
</file>

<file path=xl/ctrlProps/ctrlProp251.xml><?xml version="1.0" encoding="utf-8"?>
<formControlPr xmlns="http://schemas.microsoft.com/office/spreadsheetml/2009/9/main" objectType="CheckBox" lockText="1" noThreeD="1"/>
</file>

<file path=xl/ctrlProps/ctrlProp252.xml><?xml version="1.0" encoding="utf-8"?>
<formControlPr xmlns="http://schemas.microsoft.com/office/spreadsheetml/2009/9/main" objectType="CheckBox" lockText="1" noThreeD="1"/>
</file>

<file path=xl/ctrlProps/ctrlProp253.xml><?xml version="1.0" encoding="utf-8"?>
<formControlPr xmlns="http://schemas.microsoft.com/office/spreadsheetml/2009/9/main" objectType="CheckBox" lockText="1" noThreeD="1"/>
</file>

<file path=xl/ctrlProps/ctrlProp254.xml><?xml version="1.0" encoding="utf-8"?>
<formControlPr xmlns="http://schemas.microsoft.com/office/spreadsheetml/2009/9/main" objectType="CheckBox" lockText="1" noThreeD="1"/>
</file>

<file path=xl/ctrlProps/ctrlProp255.xml><?xml version="1.0" encoding="utf-8"?>
<formControlPr xmlns="http://schemas.microsoft.com/office/spreadsheetml/2009/9/main" objectType="CheckBox" lockText="1" noThreeD="1"/>
</file>

<file path=xl/ctrlProps/ctrlProp256.xml><?xml version="1.0" encoding="utf-8"?>
<formControlPr xmlns="http://schemas.microsoft.com/office/spreadsheetml/2009/9/main" objectType="CheckBox" lockText="1" noThreeD="1"/>
</file>

<file path=xl/ctrlProps/ctrlProp257.xml><?xml version="1.0" encoding="utf-8"?>
<formControlPr xmlns="http://schemas.microsoft.com/office/spreadsheetml/2009/9/main" objectType="CheckBox" lockText="1" noThreeD="1"/>
</file>

<file path=xl/ctrlProps/ctrlProp258.xml><?xml version="1.0" encoding="utf-8"?>
<formControlPr xmlns="http://schemas.microsoft.com/office/spreadsheetml/2009/9/main" objectType="CheckBox" lockText="1" noThreeD="1"/>
</file>

<file path=xl/ctrlProps/ctrlProp259.xml><?xml version="1.0" encoding="utf-8"?>
<formControlPr xmlns="http://schemas.microsoft.com/office/spreadsheetml/2009/9/main" objectType="CheckBox" lockText="1" noThreeD="1"/>
</file>

<file path=xl/ctrlProps/ctrlProp260.xml><?xml version="1.0" encoding="utf-8"?>
<formControlPr xmlns="http://schemas.microsoft.com/office/spreadsheetml/2009/9/main" objectType="CheckBox" lockText="1" noThreeD="1"/>
</file>

<file path=xl/ctrlProps/ctrlProp261.xml><?xml version="1.0" encoding="utf-8"?>
<formControlPr xmlns="http://schemas.microsoft.com/office/spreadsheetml/2009/9/main" objectType="CheckBox" lockText="1" noThreeD="1"/>
</file>

<file path=xl/ctrlProps/ctrlProp262.xml><?xml version="1.0" encoding="utf-8"?>
<formControlPr xmlns="http://schemas.microsoft.com/office/spreadsheetml/2009/9/main" objectType="CheckBox" lockText="1" noThreeD="1"/>
</file>

<file path=xl/ctrlProps/ctrlProp263.xml><?xml version="1.0" encoding="utf-8"?>
<formControlPr xmlns="http://schemas.microsoft.com/office/spreadsheetml/2009/9/main" objectType="CheckBox" lockText="1" noThreeD="1"/>
</file>

<file path=xl/ctrlProps/ctrlProp264.xml><?xml version="1.0" encoding="utf-8"?>
<formControlPr xmlns="http://schemas.microsoft.com/office/spreadsheetml/2009/9/main" objectType="CheckBox" lockText="1" noThreeD="1"/>
</file>

<file path=xl/ctrlProps/ctrlProp265.xml><?xml version="1.0" encoding="utf-8"?>
<formControlPr xmlns="http://schemas.microsoft.com/office/spreadsheetml/2009/9/main" objectType="CheckBox" lockText="1" noThreeD="1"/>
</file>

<file path=xl/ctrlProps/ctrlProp266.xml><?xml version="1.0" encoding="utf-8"?>
<formControlPr xmlns="http://schemas.microsoft.com/office/spreadsheetml/2009/9/main" objectType="CheckBox" lockText="1" noThreeD="1"/>
</file>

<file path=xl/ctrlProps/ctrlProp267.xml><?xml version="1.0" encoding="utf-8"?>
<formControlPr xmlns="http://schemas.microsoft.com/office/spreadsheetml/2009/9/main" objectType="CheckBox" lockText="1" noThreeD="1"/>
</file>

<file path=xl/ctrlProps/ctrlProp268.xml><?xml version="1.0" encoding="utf-8"?>
<formControlPr xmlns="http://schemas.microsoft.com/office/spreadsheetml/2009/9/main" objectType="CheckBox" lockText="1" noThreeD="1"/>
</file>

<file path=xl/ctrlProps/ctrlProp269.xml><?xml version="1.0" encoding="utf-8"?>
<formControlPr xmlns="http://schemas.microsoft.com/office/spreadsheetml/2009/9/main" objectType="CheckBox" lockText="1" noThreeD="1"/>
</file>

<file path=xl/ctrlProps/ctrlProp270.xml><?xml version="1.0" encoding="utf-8"?>
<formControlPr xmlns="http://schemas.microsoft.com/office/spreadsheetml/2009/9/main" objectType="CheckBox" lockText="1" noThreeD="1"/>
</file>

<file path=xl/ctrlProps/ctrlProp271.xml><?xml version="1.0" encoding="utf-8"?>
<formControlPr xmlns="http://schemas.microsoft.com/office/spreadsheetml/2009/9/main" objectType="CheckBox" checked="Checked" lockText="1" noThreeD="1"/>
</file>

<file path=xl/ctrlProps/ctrlProp272.xml><?xml version="1.0" encoding="utf-8"?>
<formControlPr xmlns="http://schemas.microsoft.com/office/spreadsheetml/2009/9/main" objectType="CheckBox" checked="Checked" lockText="1" noThreeD="1"/>
</file>

<file path=xl/ctrlProps/ctrlProp273.xml><?xml version="1.0" encoding="utf-8"?>
<formControlPr xmlns="http://schemas.microsoft.com/office/spreadsheetml/2009/9/main" objectType="CheckBox" checked="Checked" lockText="1" noThreeD="1"/>
</file>

<file path=xl/ctrlProps/ctrlProp274.xml><?xml version="1.0" encoding="utf-8"?>
<formControlPr xmlns="http://schemas.microsoft.com/office/spreadsheetml/2009/9/main" objectType="CheckBox" checked="Checked" lockText="1" noThreeD="1"/>
</file>

<file path=xl/ctrlProps/ctrlProp275.xml><?xml version="1.0" encoding="utf-8"?>
<formControlPr xmlns="http://schemas.microsoft.com/office/spreadsheetml/2009/9/main" objectType="CheckBox" checked="Checked" lockText="1" noThreeD="1"/>
</file>

<file path=xl/ctrlProps/ctrlProp276.xml><?xml version="1.0" encoding="utf-8"?>
<formControlPr xmlns="http://schemas.microsoft.com/office/spreadsheetml/2009/9/main" objectType="CheckBox" checked="Checked" lockText="1" noThreeD="1"/>
</file>

<file path=xl/ctrlProps/ctrlProp277.xml><?xml version="1.0" encoding="utf-8"?>
<formControlPr xmlns="http://schemas.microsoft.com/office/spreadsheetml/2009/9/main" objectType="CheckBox" checked="Checked" lockText="1" noThreeD="1"/>
</file>

<file path=xl/ctrlProps/ctrlProp278.xml><?xml version="1.0" encoding="utf-8"?>
<formControlPr xmlns="http://schemas.microsoft.com/office/spreadsheetml/2009/9/main" objectType="CheckBox" checked="Checked" lockText="1" noThreeD="1"/>
</file>

<file path=xl/ctrlProps/ctrlProp279.xml><?xml version="1.0" encoding="utf-8"?>
<formControlPr xmlns="http://schemas.microsoft.com/office/spreadsheetml/2009/9/main" objectType="CheckBox" checked="Checked" lockText="1" noThreeD="1"/>
</file>

<file path=xl/ctrlProps/ctrlProp280.xml><?xml version="1.0" encoding="utf-8"?>
<formControlPr xmlns="http://schemas.microsoft.com/office/spreadsheetml/2009/9/main" objectType="CheckBox" checked="Checked" lockText="1" noThreeD="1"/>
</file>

<file path=xl/ctrlProps/ctrlProp281.xml><?xml version="1.0" encoding="utf-8"?>
<formControlPr xmlns="http://schemas.microsoft.com/office/spreadsheetml/2009/9/main" objectType="CheckBox" checked="Checked" lockText="1" noThreeD="1"/>
</file>

<file path=xl/ctrlProps/ctrlProp282.xml><?xml version="1.0" encoding="utf-8"?>
<formControlPr xmlns="http://schemas.microsoft.com/office/spreadsheetml/2009/9/main" objectType="CheckBox" checked="Checked" lockText="1" noThreeD="1"/>
</file>

<file path=xl/ctrlProps/ctrlProp283.xml><?xml version="1.0" encoding="utf-8"?>
<formControlPr xmlns="http://schemas.microsoft.com/office/spreadsheetml/2009/9/main" objectType="CheckBox" checked="Checked" lockText="1" noThreeD="1"/>
</file>

<file path=xl/ctrlProps/ctrlProp284.xml><?xml version="1.0" encoding="utf-8"?>
<formControlPr xmlns="http://schemas.microsoft.com/office/spreadsheetml/2009/9/main" objectType="CheckBox" checked="Checked" lockText="1" noThreeD="1"/>
</file>

<file path=xl/ctrlProps/ctrlProp285.xml><?xml version="1.0" encoding="utf-8"?>
<formControlPr xmlns="http://schemas.microsoft.com/office/spreadsheetml/2009/9/main" objectType="CheckBox" checked="Checked" lockText="1" noThreeD="1"/>
</file>

<file path=xl/ctrlProps/ctrlProp286.xml><?xml version="1.0" encoding="utf-8"?>
<formControlPr xmlns="http://schemas.microsoft.com/office/spreadsheetml/2009/9/main" objectType="CheckBox" checked="Checked" lockText="1" noThreeD="1"/>
</file>

<file path=xl/ctrlProps/ctrlProp287.xml><?xml version="1.0" encoding="utf-8"?>
<formControlPr xmlns="http://schemas.microsoft.com/office/spreadsheetml/2009/9/main" objectType="CheckBox" checked="Checked" lockText="1" noThreeD="1"/>
</file>

<file path=xl/ctrlProps/ctrlProp288.xml><?xml version="1.0" encoding="utf-8"?>
<formControlPr xmlns="http://schemas.microsoft.com/office/spreadsheetml/2009/9/main" objectType="CheckBox" checked="Checked" lockText="1" noThreeD="1"/>
</file>

<file path=xl/ctrlProps/ctrlProp289.xml><?xml version="1.0" encoding="utf-8"?>
<formControlPr xmlns="http://schemas.microsoft.com/office/spreadsheetml/2009/9/main" objectType="CheckBox" checked="Checked" lockText="1" noThreeD="1"/>
</file>

<file path=xl/ctrlProps/ctrlProp290.xml><?xml version="1.0" encoding="utf-8"?>
<formControlPr xmlns="http://schemas.microsoft.com/office/spreadsheetml/2009/9/main" objectType="CheckBox" lockText="1" noThreeD="1"/>
</file>

<file path=xl/ctrlProps/ctrlProp291.xml><?xml version="1.0" encoding="utf-8"?>
<formControlPr xmlns="http://schemas.microsoft.com/office/spreadsheetml/2009/9/main" objectType="CheckBox" lockText="1" noThreeD="1"/>
</file>

<file path=xl/ctrlProps/ctrlProp292.xml><?xml version="1.0" encoding="utf-8"?>
<formControlPr xmlns="http://schemas.microsoft.com/office/spreadsheetml/2009/9/main" objectType="CheckBox" lockText="1" noThreeD="1"/>
</file>

<file path=xl/ctrlProps/ctrlProp293.xml><?xml version="1.0" encoding="utf-8"?>
<formControlPr xmlns="http://schemas.microsoft.com/office/spreadsheetml/2009/9/main" objectType="CheckBox" lockText="1" noThreeD="1"/>
</file>

<file path=xl/ctrlProps/ctrlProp294.xml><?xml version="1.0" encoding="utf-8"?>
<formControlPr xmlns="http://schemas.microsoft.com/office/spreadsheetml/2009/9/main" objectType="CheckBox" lockText="1" noThreeD="1"/>
</file>

<file path=xl/ctrlProps/ctrlProp295.xml><?xml version="1.0" encoding="utf-8"?>
<formControlPr xmlns="http://schemas.microsoft.com/office/spreadsheetml/2009/9/main" objectType="CheckBox" lockText="1" noThreeD="1"/>
</file>

<file path=xl/ctrlProps/ctrlProp296.xml><?xml version="1.0" encoding="utf-8"?>
<formControlPr xmlns="http://schemas.microsoft.com/office/spreadsheetml/2009/9/main" objectType="CheckBox" lockText="1" noThreeD="1"/>
</file>

<file path=xl/ctrlProps/ctrlProp297.xml><?xml version="1.0" encoding="utf-8"?>
<formControlPr xmlns="http://schemas.microsoft.com/office/spreadsheetml/2009/9/main" objectType="CheckBox" lockText="1" noThreeD="1"/>
</file>

<file path=xl/ctrlProps/ctrlProp298.xml><?xml version="1.0" encoding="utf-8"?>
<formControlPr xmlns="http://schemas.microsoft.com/office/spreadsheetml/2009/9/main" objectType="CheckBox" lockText="1" noThreeD="1"/>
</file>

<file path=xl/ctrlProps/ctrlProp299.xml><?xml version="1.0" encoding="utf-8"?>
<formControlPr xmlns="http://schemas.microsoft.com/office/spreadsheetml/2009/9/main" objectType="CheckBox" lockText="1" noThreeD="1"/>
</file>

<file path=xl/ctrlProps/ctrlProp300.xml><?xml version="1.0" encoding="utf-8"?>
<formControlPr xmlns="http://schemas.microsoft.com/office/spreadsheetml/2009/9/main" objectType="CheckBox" lockText="1" noThreeD="1"/>
</file>

<file path=xl/ctrlProps/ctrlProp301.xml><?xml version="1.0" encoding="utf-8"?>
<formControlPr xmlns="http://schemas.microsoft.com/office/spreadsheetml/2009/9/main" objectType="CheckBox" lockText="1" noThreeD="1"/>
</file>

<file path=xl/ctrlProps/ctrlProp302.xml><?xml version="1.0" encoding="utf-8"?>
<formControlPr xmlns="http://schemas.microsoft.com/office/spreadsheetml/2009/9/main" objectType="CheckBox" lockText="1" noThreeD="1"/>
</file>

<file path=xl/ctrlProps/ctrlProp303.xml><?xml version="1.0" encoding="utf-8"?>
<formControlPr xmlns="http://schemas.microsoft.com/office/spreadsheetml/2009/9/main" objectType="CheckBox" lockText="1" noThreeD="1"/>
</file>

<file path=xl/ctrlProps/ctrlProp304.xml><?xml version="1.0" encoding="utf-8"?>
<formControlPr xmlns="http://schemas.microsoft.com/office/spreadsheetml/2009/9/main" objectType="CheckBox" lockText="1" noThreeD="1"/>
</file>

<file path=xl/ctrlProps/ctrlProp305.xml><?xml version="1.0" encoding="utf-8"?>
<formControlPr xmlns="http://schemas.microsoft.com/office/spreadsheetml/2009/9/main" objectType="CheckBox" lockText="1" noThreeD="1"/>
</file>

<file path=xl/ctrlProps/ctrlProp306.xml><?xml version="1.0" encoding="utf-8"?>
<formControlPr xmlns="http://schemas.microsoft.com/office/spreadsheetml/2009/9/main" objectType="CheckBox" lockText="1" noThreeD="1"/>
</file>

<file path=xl/ctrlProps/ctrlProp307.xml><?xml version="1.0" encoding="utf-8"?>
<formControlPr xmlns="http://schemas.microsoft.com/office/spreadsheetml/2009/9/main" objectType="CheckBox" lockText="1" noThreeD="1"/>
</file>

<file path=xl/ctrlProps/ctrlProp308.xml><?xml version="1.0" encoding="utf-8"?>
<formControlPr xmlns="http://schemas.microsoft.com/office/spreadsheetml/2009/9/main" objectType="CheckBox" lockText="1" noThreeD="1"/>
</file>

<file path=xl/ctrlProps/ctrlProp309.xml><?xml version="1.0" encoding="utf-8"?>
<formControlPr xmlns="http://schemas.microsoft.com/office/spreadsheetml/2009/9/main" objectType="CheckBox" lockText="1" noThreeD="1"/>
</file>

<file path=xl/ctrlProps/ctrlProp3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hyperlink" Target="https://cpchem.sharepoint.com/teams/ced-1594-GEN/EID%20and%20Blind%20Lists/Forms/AllItems.aspx?viewid=ac733a32%2D042a%2D49b6%2D93b6%2D08c05bf2cec3&amp;id=%2Fteams%2Fced%2D1594%2DGEN%2FEID%20and%20Blind%20Lists%2FEID%20Help%20Videos" TargetMode="External"/><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13.svg"/><Relationship Id="rId1" Type="http://schemas.openxmlformats.org/officeDocument/2006/relationships/image" Target="../media/image7.png"/><Relationship Id="rId4" Type="http://schemas.openxmlformats.org/officeDocument/2006/relationships/image" Target="../media/image14.svg"/></Relationships>
</file>

<file path=xl/drawings/_rels/drawing3.xml.rels><?xml version="1.0" encoding="UTF-8" standalone="yes"?>
<Relationships xmlns="http://schemas.openxmlformats.org/package/2006/relationships"><Relationship Id="rId1" Type="http://schemas.openxmlformats.org/officeDocument/2006/relationships/image" Target="../media/image15.PNG"/></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drawing1.xml><?xml version="1.0" encoding="utf-8"?>
<xdr:wsDr xmlns:xdr="http://schemas.openxmlformats.org/drawingml/2006/spreadsheetDrawing" xmlns:a="http://schemas.openxmlformats.org/drawingml/2006/main">
  <xdr:twoCellAnchor>
    <xdr:from>
      <xdr:col>5</xdr:col>
      <xdr:colOff>576262</xdr:colOff>
      <xdr:row>11</xdr:row>
      <xdr:rowOff>28575</xdr:rowOff>
    </xdr:from>
    <xdr:to>
      <xdr:col>8</xdr:col>
      <xdr:colOff>128587</xdr:colOff>
      <xdr:row>13</xdr:row>
      <xdr:rowOff>76200</xdr:rowOff>
    </xdr:to>
    <xdr:grpSp>
      <xdr:nvGrpSpPr>
        <xdr:cNvPr id="3" name="Group 2">
          <a:extLst>
            <a:ext uri="{FF2B5EF4-FFF2-40B4-BE49-F238E27FC236}">
              <a16:creationId xmlns:a16="http://schemas.microsoft.com/office/drawing/2014/main" id="{00000000-0008-0000-0000-000003000000}"/>
            </a:ext>
          </a:extLst>
        </xdr:cNvPr>
        <xdr:cNvGrpSpPr/>
      </xdr:nvGrpSpPr>
      <xdr:grpSpPr>
        <a:xfrm>
          <a:off x="6786562" y="2924175"/>
          <a:ext cx="1495425" cy="542925"/>
          <a:chOff x="6786562" y="3009900"/>
          <a:chExt cx="1495425" cy="542925"/>
        </a:xfrm>
      </xdr:grpSpPr>
      <xdr:sp macro="[0]!Print_EIDList" textlink="">
        <xdr:nvSpPr>
          <xdr:cNvPr id="2" name="Rectangle: Rounded Corners 1">
            <a:extLst>
              <a:ext uri="{FF2B5EF4-FFF2-40B4-BE49-F238E27FC236}">
                <a16:creationId xmlns:a16="http://schemas.microsoft.com/office/drawing/2014/main" id="{00000000-0008-0000-0000-000002000000}"/>
              </a:ext>
            </a:extLst>
          </xdr:cNvPr>
          <xdr:cNvSpPr/>
        </xdr:nvSpPr>
        <xdr:spPr>
          <a:xfrm>
            <a:off x="6786562" y="3009900"/>
            <a:ext cx="1495425" cy="542925"/>
          </a:xfrm>
          <a:prstGeom prst="roundRect">
            <a:avLst>
              <a:gd name="adj" fmla="val 41228"/>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t"/>
          <a:lstStyle/>
          <a:p>
            <a:pPr algn="l"/>
            <a:endParaRPr lang="en-US" sz="1100"/>
          </a:p>
        </xdr:txBody>
      </xdr:sp>
      <xdr:pic macro="[0]!Print_EIDList">
        <xdr:nvPicPr>
          <xdr:cNvPr id="4" name="Graphic 3" descr="Printer">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905625" y="3117056"/>
            <a:ext cx="319089" cy="319089"/>
          </a:xfrm>
          <a:prstGeom prst="rect">
            <a:avLst/>
          </a:prstGeom>
        </xdr:spPr>
      </xdr:pic>
      <xdr:sp macro="[0]!Print_EIDList" textlink="">
        <xdr:nvSpPr>
          <xdr:cNvPr id="6" name="TextBox 5">
            <a:extLst>
              <a:ext uri="{FF2B5EF4-FFF2-40B4-BE49-F238E27FC236}">
                <a16:creationId xmlns:a16="http://schemas.microsoft.com/office/drawing/2014/main" id="{00000000-0008-0000-0000-000006000000}"/>
              </a:ext>
            </a:extLst>
          </xdr:cNvPr>
          <xdr:cNvSpPr txBox="1"/>
        </xdr:nvSpPr>
        <xdr:spPr>
          <a:xfrm>
            <a:off x="7148513" y="3143250"/>
            <a:ext cx="9620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rPr>
              <a:t>Print</a:t>
            </a:r>
            <a:r>
              <a:rPr lang="en-US" sz="1200" b="1" baseline="0">
                <a:solidFill>
                  <a:schemeClr val="bg1"/>
                </a:solidFill>
              </a:rPr>
              <a:t> </a:t>
            </a:r>
            <a:r>
              <a:rPr lang="en-US" sz="1200" b="1">
                <a:solidFill>
                  <a:schemeClr val="bg1"/>
                </a:solidFill>
              </a:rPr>
              <a:t>EID</a:t>
            </a:r>
          </a:p>
        </xdr:txBody>
      </xdr:sp>
    </xdr:grpSp>
    <xdr:clientData/>
  </xdr:twoCellAnchor>
  <xdr:twoCellAnchor>
    <xdr:from>
      <xdr:col>5</xdr:col>
      <xdr:colOff>576262</xdr:colOff>
      <xdr:row>13</xdr:row>
      <xdr:rowOff>154781</xdr:rowOff>
    </xdr:from>
    <xdr:to>
      <xdr:col>8</xdr:col>
      <xdr:colOff>128587</xdr:colOff>
      <xdr:row>15</xdr:row>
      <xdr:rowOff>202406</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6786562" y="3545681"/>
          <a:ext cx="1495425" cy="542925"/>
          <a:chOff x="6786562" y="3631406"/>
          <a:chExt cx="1495425" cy="542925"/>
        </a:xfrm>
      </xdr:grpSpPr>
      <xdr:sp macro="[0]!Validate_Create" textlink="">
        <xdr:nvSpPr>
          <xdr:cNvPr id="28" name="Rectangle: Rounded Corners 27">
            <a:extLst>
              <a:ext uri="{FF2B5EF4-FFF2-40B4-BE49-F238E27FC236}">
                <a16:creationId xmlns:a16="http://schemas.microsoft.com/office/drawing/2014/main" id="{00000000-0008-0000-0000-00001C000000}"/>
              </a:ext>
            </a:extLst>
          </xdr:cNvPr>
          <xdr:cNvSpPr/>
        </xdr:nvSpPr>
        <xdr:spPr>
          <a:xfrm>
            <a:off x="6786562" y="3631406"/>
            <a:ext cx="1495425" cy="542925"/>
          </a:xfrm>
          <a:prstGeom prst="roundRect">
            <a:avLst>
              <a:gd name="adj" fmla="val 41228"/>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t"/>
          <a:lstStyle/>
          <a:p>
            <a:pPr algn="l"/>
            <a:endParaRPr lang="en-US" sz="1100"/>
          </a:p>
        </xdr:txBody>
      </xdr:sp>
      <xdr:pic macro="[0]!Validate_Create">
        <xdr:nvPicPr>
          <xdr:cNvPr id="29" name="Graphic 28" descr="Label">
            <a:extLst>
              <a:ext uri="{FF2B5EF4-FFF2-40B4-BE49-F238E27FC236}">
                <a16:creationId xmlns:a16="http://schemas.microsoft.com/office/drawing/2014/main" id="{00000000-0008-0000-0000-00001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6838951" y="3683794"/>
            <a:ext cx="438149" cy="438149"/>
          </a:xfrm>
          <a:prstGeom prst="rect">
            <a:avLst/>
          </a:prstGeom>
        </xdr:spPr>
      </xdr:pic>
      <xdr:sp macro="[0]!Validate_Create" textlink="">
        <xdr:nvSpPr>
          <xdr:cNvPr id="30" name="TextBox 29">
            <a:extLst>
              <a:ext uri="{FF2B5EF4-FFF2-40B4-BE49-F238E27FC236}">
                <a16:creationId xmlns:a16="http://schemas.microsoft.com/office/drawing/2014/main" id="{00000000-0008-0000-0000-00001E000000}"/>
              </a:ext>
            </a:extLst>
          </xdr:cNvPr>
          <xdr:cNvSpPr txBox="1"/>
        </xdr:nvSpPr>
        <xdr:spPr>
          <a:xfrm>
            <a:off x="7158037" y="3640930"/>
            <a:ext cx="962025" cy="5143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rPr>
              <a:t>Print Danger Tags</a:t>
            </a:r>
          </a:p>
        </xdr:txBody>
      </xdr:sp>
    </xdr:grpSp>
    <xdr:clientData/>
  </xdr:twoCellAnchor>
  <xdr:twoCellAnchor>
    <xdr:from>
      <xdr:col>8</xdr:col>
      <xdr:colOff>252412</xdr:colOff>
      <xdr:row>11</xdr:row>
      <xdr:rowOff>4762</xdr:rowOff>
    </xdr:from>
    <xdr:to>
      <xdr:col>10</xdr:col>
      <xdr:colOff>528637</xdr:colOff>
      <xdr:row>13</xdr:row>
      <xdr:rowOff>109537</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8405812" y="2900362"/>
          <a:ext cx="1495425" cy="600075"/>
          <a:chOff x="8405812" y="2986087"/>
          <a:chExt cx="1495425" cy="600075"/>
        </a:xfrm>
      </xdr:grpSpPr>
      <xdr:sp macro="[0]!SaveAsDialog" textlink="">
        <xdr:nvSpPr>
          <xdr:cNvPr id="32" name="Rectangle: Rounded Corners 31">
            <a:extLst>
              <a:ext uri="{FF2B5EF4-FFF2-40B4-BE49-F238E27FC236}">
                <a16:creationId xmlns:a16="http://schemas.microsoft.com/office/drawing/2014/main" id="{00000000-0008-0000-0000-000020000000}"/>
              </a:ext>
            </a:extLst>
          </xdr:cNvPr>
          <xdr:cNvSpPr/>
        </xdr:nvSpPr>
        <xdr:spPr>
          <a:xfrm>
            <a:off x="8405812" y="3014662"/>
            <a:ext cx="1495425" cy="542925"/>
          </a:xfrm>
          <a:prstGeom prst="roundRect">
            <a:avLst>
              <a:gd name="adj" fmla="val 41228"/>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t"/>
          <a:lstStyle/>
          <a:p>
            <a:pPr algn="l"/>
            <a:endParaRPr lang="en-US" sz="1100"/>
          </a:p>
        </xdr:txBody>
      </xdr:sp>
      <xdr:pic macro="[0]!SaveAsDialog">
        <xdr:nvPicPr>
          <xdr:cNvPr id="33" name="Graphic 32" descr="Disk">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8520113" y="3119437"/>
            <a:ext cx="333375" cy="333375"/>
          </a:xfrm>
          <a:prstGeom prst="rect">
            <a:avLst/>
          </a:prstGeom>
        </xdr:spPr>
      </xdr:pic>
      <xdr:sp macro="[0]!SaveAsDialog" textlink="">
        <xdr:nvSpPr>
          <xdr:cNvPr id="34" name="TextBox 33">
            <a:extLst>
              <a:ext uri="{FF2B5EF4-FFF2-40B4-BE49-F238E27FC236}">
                <a16:creationId xmlns:a16="http://schemas.microsoft.com/office/drawing/2014/main" id="{00000000-0008-0000-0000-000022000000}"/>
              </a:ext>
            </a:extLst>
          </xdr:cNvPr>
          <xdr:cNvSpPr txBox="1"/>
        </xdr:nvSpPr>
        <xdr:spPr>
          <a:xfrm>
            <a:off x="8786812" y="2986087"/>
            <a:ext cx="962025" cy="600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rPr>
              <a:t>Save EID &amp; Blind List</a:t>
            </a:r>
          </a:p>
        </xdr:txBody>
      </xdr:sp>
    </xdr:grpSp>
    <xdr:clientData/>
  </xdr:twoCellAnchor>
  <xdr:twoCellAnchor>
    <xdr:from>
      <xdr:col>8</xdr:col>
      <xdr:colOff>252412</xdr:colOff>
      <xdr:row>13</xdr:row>
      <xdr:rowOff>121443</xdr:rowOff>
    </xdr:from>
    <xdr:to>
      <xdr:col>10</xdr:col>
      <xdr:colOff>528637</xdr:colOff>
      <xdr:row>15</xdr:row>
      <xdr:rowOff>226218</xdr:rowOff>
    </xdr:to>
    <xdr:grpSp>
      <xdr:nvGrpSpPr>
        <xdr:cNvPr id="12" name="Group 11">
          <a:extLst>
            <a:ext uri="{FF2B5EF4-FFF2-40B4-BE49-F238E27FC236}">
              <a16:creationId xmlns:a16="http://schemas.microsoft.com/office/drawing/2014/main" id="{00000000-0008-0000-0000-00000C000000}"/>
            </a:ext>
          </a:extLst>
        </xdr:cNvPr>
        <xdr:cNvGrpSpPr/>
      </xdr:nvGrpSpPr>
      <xdr:grpSpPr>
        <a:xfrm>
          <a:off x="8405812" y="3512343"/>
          <a:ext cx="1495425" cy="600075"/>
          <a:chOff x="8405812" y="3598068"/>
          <a:chExt cx="1495425" cy="600075"/>
        </a:xfrm>
      </xdr:grpSpPr>
      <xdr:sp macro="[0]!Clear_Contents" textlink="">
        <xdr:nvSpPr>
          <xdr:cNvPr id="40" name="Rectangle: Rounded Corners 39">
            <a:extLst>
              <a:ext uri="{FF2B5EF4-FFF2-40B4-BE49-F238E27FC236}">
                <a16:creationId xmlns:a16="http://schemas.microsoft.com/office/drawing/2014/main" id="{00000000-0008-0000-0000-000028000000}"/>
              </a:ext>
            </a:extLst>
          </xdr:cNvPr>
          <xdr:cNvSpPr/>
        </xdr:nvSpPr>
        <xdr:spPr>
          <a:xfrm>
            <a:off x="8405812" y="3626643"/>
            <a:ext cx="1495425" cy="542925"/>
          </a:xfrm>
          <a:prstGeom prst="roundRect">
            <a:avLst>
              <a:gd name="adj" fmla="val 41228"/>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t"/>
          <a:lstStyle/>
          <a:p>
            <a:pPr algn="l"/>
            <a:endParaRPr lang="en-US" sz="1100"/>
          </a:p>
        </xdr:txBody>
      </xdr:sp>
      <xdr:pic macro="[0]!Clear_Contents">
        <xdr:nvPicPr>
          <xdr:cNvPr id="41" name="Graphic 40" descr="Web design">
            <a:extLst>
              <a:ext uri="{FF2B5EF4-FFF2-40B4-BE49-F238E27FC236}">
                <a16:creationId xmlns:a16="http://schemas.microsoft.com/office/drawing/2014/main" id="{00000000-0008-0000-0000-000029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8520113" y="3731418"/>
            <a:ext cx="333375" cy="333375"/>
          </a:xfrm>
          <a:prstGeom prst="rect">
            <a:avLst/>
          </a:prstGeom>
        </xdr:spPr>
      </xdr:pic>
      <xdr:sp macro="[0]!Clear_Contents" textlink="">
        <xdr:nvSpPr>
          <xdr:cNvPr id="42" name="TextBox 41">
            <a:extLst>
              <a:ext uri="{FF2B5EF4-FFF2-40B4-BE49-F238E27FC236}">
                <a16:creationId xmlns:a16="http://schemas.microsoft.com/office/drawing/2014/main" id="{00000000-0008-0000-0000-00002A000000}"/>
              </a:ext>
            </a:extLst>
          </xdr:cNvPr>
          <xdr:cNvSpPr txBox="1"/>
        </xdr:nvSpPr>
        <xdr:spPr>
          <a:xfrm>
            <a:off x="8796337" y="3598068"/>
            <a:ext cx="962025" cy="600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rPr>
              <a:t>Clear Data List</a:t>
            </a:r>
          </a:p>
        </xdr:txBody>
      </xdr:sp>
    </xdr:grpSp>
    <xdr:clientData/>
  </xdr:twoCellAnchor>
  <xdr:twoCellAnchor>
    <xdr:from>
      <xdr:col>11</xdr:col>
      <xdr:colOff>61912</xdr:colOff>
      <xdr:row>11</xdr:row>
      <xdr:rowOff>4762</xdr:rowOff>
    </xdr:from>
    <xdr:to>
      <xdr:col>13</xdr:col>
      <xdr:colOff>338137</xdr:colOff>
      <xdr:row>13</xdr:row>
      <xdr:rowOff>109537</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10044112" y="2900362"/>
          <a:ext cx="1495425" cy="600075"/>
          <a:chOff x="10044112" y="2900362"/>
          <a:chExt cx="1495425" cy="600075"/>
        </a:xfrm>
      </xdr:grpSpPr>
      <xdr:sp macro="[0]!GoTo_BlindList" textlink="">
        <xdr:nvSpPr>
          <xdr:cNvPr id="19" name="Rectangle: Rounded Corners 18">
            <a:extLst>
              <a:ext uri="{FF2B5EF4-FFF2-40B4-BE49-F238E27FC236}">
                <a16:creationId xmlns:a16="http://schemas.microsoft.com/office/drawing/2014/main" id="{00000000-0008-0000-0000-000013000000}"/>
              </a:ext>
            </a:extLst>
          </xdr:cNvPr>
          <xdr:cNvSpPr/>
        </xdr:nvSpPr>
        <xdr:spPr>
          <a:xfrm>
            <a:off x="10044112" y="2928937"/>
            <a:ext cx="1495425" cy="542925"/>
          </a:xfrm>
          <a:prstGeom prst="roundRect">
            <a:avLst>
              <a:gd name="adj" fmla="val 41228"/>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t"/>
          <a:lstStyle/>
          <a:p>
            <a:pPr algn="l"/>
            <a:endParaRPr lang="en-US" sz="1100"/>
          </a:p>
        </xdr:txBody>
      </xdr:sp>
      <xdr:pic macro="[0]!GoTo_BlindList">
        <xdr:nvPicPr>
          <xdr:cNvPr id="20" name="Graphic 19" descr="Tag">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10158413" y="3000376"/>
            <a:ext cx="385762" cy="385762"/>
          </a:xfrm>
          <a:prstGeom prst="rect">
            <a:avLst/>
          </a:prstGeom>
        </xdr:spPr>
      </xdr:pic>
      <xdr:sp macro="[0]!GoTo_BlindList" textlink="">
        <xdr:nvSpPr>
          <xdr:cNvPr id="21" name="TextBox 20">
            <a:extLst>
              <a:ext uri="{FF2B5EF4-FFF2-40B4-BE49-F238E27FC236}">
                <a16:creationId xmlns:a16="http://schemas.microsoft.com/office/drawing/2014/main" id="{00000000-0008-0000-0000-000015000000}"/>
              </a:ext>
            </a:extLst>
          </xdr:cNvPr>
          <xdr:cNvSpPr txBox="1"/>
        </xdr:nvSpPr>
        <xdr:spPr>
          <a:xfrm>
            <a:off x="10425112" y="2900362"/>
            <a:ext cx="962025" cy="600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rPr>
              <a:t>Go To</a:t>
            </a:r>
          </a:p>
          <a:p>
            <a:pPr algn="ctr"/>
            <a:r>
              <a:rPr lang="en-US" sz="1200" b="1">
                <a:solidFill>
                  <a:schemeClr val="bg1"/>
                </a:solidFill>
              </a:rPr>
              <a:t>Blind</a:t>
            </a:r>
            <a:r>
              <a:rPr lang="en-US" sz="1200" b="1" baseline="0">
                <a:solidFill>
                  <a:schemeClr val="bg1"/>
                </a:solidFill>
              </a:rPr>
              <a:t> List</a:t>
            </a:r>
            <a:endParaRPr lang="en-US" sz="1200" b="1">
              <a:solidFill>
                <a:schemeClr val="bg1"/>
              </a:solidFill>
            </a:endParaRPr>
          </a:p>
        </xdr:txBody>
      </xdr:sp>
    </xdr:grpSp>
    <xdr:clientData/>
  </xdr:twoCellAnchor>
  <xdr:twoCellAnchor>
    <xdr:from>
      <xdr:col>11</xdr:col>
      <xdr:colOff>80962</xdr:colOff>
      <xdr:row>13</xdr:row>
      <xdr:rowOff>119062</xdr:rowOff>
    </xdr:from>
    <xdr:to>
      <xdr:col>13</xdr:col>
      <xdr:colOff>357187</xdr:colOff>
      <xdr:row>15</xdr:row>
      <xdr:rowOff>223837</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10063162" y="3509962"/>
          <a:ext cx="1495425" cy="600075"/>
          <a:chOff x="10063162" y="3500437"/>
          <a:chExt cx="1495425" cy="600075"/>
        </a:xfrm>
      </xdr:grpSpPr>
      <xdr:sp macro="[0]!GoTo_BlindList" textlink="">
        <xdr:nvSpPr>
          <xdr:cNvPr id="23" name="Rectangle: Rounded Corners 22">
            <a:extLst>
              <a:ext uri="{FF2B5EF4-FFF2-40B4-BE49-F238E27FC236}">
                <a16:creationId xmlns:a16="http://schemas.microsoft.com/office/drawing/2014/main" id="{00000000-0008-0000-0000-000017000000}"/>
              </a:ext>
            </a:extLst>
          </xdr:cNvPr>
          <xdr:cNvSpPr/>
        </xdr:nvSpPr>
        <xdr:spPr>
          <a:xfrm>
            <a:off x="10063162" y="3529012"/>
            <a:ext cx="1495425" cy="542925"/>
          </a:xfrm>
          <a:prstGeom prst="roundRect">
            <a:avLst>
              <a:gd name="adj" fmla="val 41228"/>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t"/>
          <a:lstStyle/>
          <a:p>
            <a:pPr algn="l"/>
            <a:endParaRPr lang="en-US" sz="1100"/>
          </a:p>
        </xdr:txBody>
      </xdr:sp>
      <xdr:pic macro="[0]!GoTo_BlindList">
        <xdr:nvPicPr>
          <xdr:cNvPr id="24" name="Graphic 23" descr="Help with solid fill">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10177463" y="3600451"/>
            <a:ext cx="385762" cy="385762"/>
          </a:xfrm>
          <a:prstGeom prst="rect">
            <a:avLst/>
          </a:prstGeom>
        </xdr:spPr>
      </xdr:pic>
      <xdr:sp macro="" textlink="">
        <xdr:nvSpPr>
          <xdr:cNvPr id="25" name="TextBox 24">
            <a:hlinkClick xmlns:r="http://schemas.openxmlformats.org/officeDocument/2006/relationships" r:id="rId13"/>
            <a:extLst>
              <a:ext uri="{FF2B5EF4-FFF2-40B4-BE49-F238E27FC236}">
                <a16:creationId xmlns:a16="http://schemas.microsoft.com/office/drawing/2014/main" id="{00000000-0008-0000-0000-000019000000}"/>
              </a:ext>
            </a:extLst>
          </xdr:cNvPr>
          <xdr:cNvSpPr txBox="1"/>
        </xdr:nvSpPr>
        <xdr:spPr>
          <a:xfrm>
            <a:off x="10444162" y="3500437"/>
            <a:ext cx="962025" cy="600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rPr>
              <a:t>How</a:t>
            </a:r>
            <a:r>
              <a:rPr lang="en-US" sz="1200" b="1" baseline="0">
                <a:solidFill>
                  <a:schemeClr val="bg1"/>
                </a:solidFill>
              </a:rPr>
              <a:t> To</a:t>
            </a:r>
          </a:p>
          <a:p>
            <a:pPr algn="ctr"/>
            <a:r>
              <a:rPr lang="en-US" sz="1200" b="1" baseline="0">
                <a:solidFill>
                  <a:schemeClr val="bg1"/>
                </a:solidFill>
              </a:rPr>
              <a:t>Use Video</a:t>
            </a:r>
            <a:endParaRPr lang="en-US" sz="1200" b="1">
              <a:solidFill>
                <a:schemeClr val="bg1"/>
              </a:solidFill>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685800</xdr:colOff>
      <xdr:row>3</xdr:row>
      <xdr:rowOff>9525</xdr:rowOff>
    </xdr:from>
    <xdr:to>
      <xdr:col>8</xdr:col>
      <xdr:colOff>219075</xdr:colOff>
      <xdr:row>3</xdr:row>
      <xdr:rowOff>609600</xdr:rowOff>
    </xdr:to>
    <xdr:grpSp>
      <xdr:nvGrpSpPr>
        <xdr:cNvPr id="12" name="Group 11">
          <a:extLst>
            <a:ext uri="{FF2B5EF4-FFF2-40B4-BE49-F238E27FC236}">
              <a16:creationId xmlns:a16="http://schemas.microsoft.com/office/drawing/2014/main" id="{00000000-0008-0000-0100-00000C000000}"/>
            </a:ext>
          </a:extLst>
        </xdr:cNvPr>
        <xdr:cNvGrpSpPr/>
      </xdr:nvGrpSpPr>
      <xdr:grpSpPr>
        <a:xfrm>
          <a:off x="5924550" y="771525"/>
          <a:ext cx="1495425" cy="600075"/>
          <a:chOff x="12477750" y="3429000"/>
          <a:chExt cx="1495425" cy="600075"/>
        </a:xfrm>
      </xdr:grpSpPr>
      <xdr:sp macro="[0]!ClearBlindList" textlink="">
        <xdr:nvSpPr>
          <xdr:cNvPr id="13" name="Rectangle: Rounded Corners 12">
            <a:extLst>
              <a:ext uri="{FF2B5EF4-FFF2-40B4-BE49-F238E27FC236}">
                <a16:creationId xmlns:a16="http://schemas.microsoft.com/office/drawing/2014/main" id="{00000000-0008-0000-0100-00000D000000}"/>
              </a:ext>
            </a:extLst>
          </xdr:cNvPr>
          <xdr:cNvSpPr/>
        </xdr:nvSpPr>
        <xdr:spPr>
          <a:xfrm>
            <a:off x="12477750" y="3457575"/>
            <a:ext cx="1495425" cy="542925"/>
          </a:xfrm>
          <a:prstGeom prst="roundRect">
            <a:avLst>
              <a:gd name="adj" fmla="val 41228"/>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t"/>
          <a:lstStyle/>
          <a:p>
            <a:pPr algn="l"/>
            <a:endParaRPr lang="en-US" sz="1100"/>
          </a:p>
        </xdr:txBody>
      </xdr:sp>
      <xdr:pic macro="[0]!ClearBlindList">
        <xdr:nvPicPr>
          <xdr:cNvPr id="14" name="Graphic 13" descr="Web design">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12592051" y="3562350"/>
            <a:ext cx="333375" cy="333375"/>
          </a:xfrm>
          <a:prstGeom prst="rect">
            <a:avLst/>
          </a:prstGeom>
        </xdr:spPr>
      </xdr:pic>
      <xdr:sp macro="[0]!ClearBlindList" textlink="">
        <xdr:nvSpPr>
          <xdr:cNvPr id="15" name="TextBox 14">
            <a:extLst>
              <a:ext uri="{FF2B5EF4-FFF2-40B4-BE49-F238E27FC236}">
                <a16:creationId xmlns:a16="http://schemas.microsoft.com/office/drawing/2014/main" id="{00000000-0008-0000-0100-00000F000000}"/>
              </a:ext>
            </a:extLst>
          </xdr:cNvPr>
          <xdr:cNvSpPr txBox="1"/>
        </xdr:nvSpPr>
        <xdr:spPr>
          <a:xfrm>
            <a:off x="12868275" y="3429000"/>
            <a:ext cx="962025" cy="600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rPr>
              <a:t>Clear Data List</a:t>
            </a:r>
          </a:p>
        </xdr:txBody>
      </xdr:sp>
    </xdr:grpSp>
    <xdr:clientData/>
  </xdr:twoCellAnchor>
  <xdr:twoCellAnchor>
    <xdr:from>
      <xdr:col>5</xdr:col>
      <xdr:colOff>685800</xdr:colOff>
      <xdr:row>3</xdr:row>
      <xdr:rowOff>695325</xdr:rowOff>
    </xdr:from>
    <xdr:to>
      <xdr:col>8</xdr:col>
      <xdr:colOff>219075</xdr:colOff>
      <xdr:row>6</xdr:row>
      <xdr:rowOff>85725</xdr:rowOff>
    </xdr:to>
    <xdr:grpSp>
      <xdr:nvGrpSpPr>
        <xdr:cNvPr id="16" name="Group 15">
          <a:extLst>
            <a:ext uri="{FF2B5EF4-FFF2-40B4-BE49-F238E27FC236}">
              <a16:creationId xmlns:a16="http://schemas.microsoft.com/office/drawing/2014/main" id="{00000000-0008-0000-0100-000010000000}"/>
            </a:ext>
          </a:extLst>
        </xdr:cNvPr>
        <xdr:cNvGrpSpPr/>
      </xdr:nvGrpSpPr>
      <xdr:grpSpPr>
        <a:xfrm>
          <a:off x="5924550" y="1457325"/>
          <a:ext cx="1495425" cy="542925"/>
          <a:chOff x="12506324" y="1543050"/>
          <a:chExt cx="1495425" cy="542925"/>
        </a:xfrm>
      </xdr:grpSpPr>
      <xdr:sp macro="[0]!PrintBlindList1Pager" textlink="">
        <xdr:nvSpPr>
          <xdr:cNvPr id="17" name="Rectangle: Rounded Corners 16">
            <a:extLst>
              <a:ext uri="{FF2B5EF4-FFF2-40B4-BE49-F238E27FC236}">
                <a16:creationId xmlns:a16="http://schemas.microsoft.com/office/drawing/2014/main" id="{00000000-0008-0000-0100-000011000000}"/>
              </a:ext>
            </a:extLst>
          </xdr:cNvPr>
          <xdr:cNvSpPr/>
        </xdr:nvSpPr>
        <xdr:spPr>
          <a:xfrm>
            <a:off x="12506324" y="1543050"/>
            <a:ext cx="1495425" cy="542925"/>
          </a:xfrm>
          <a:prstGeom prst="roundRect">
            <a:avLst>
              <a:gd name="adj" fmla="val 41228"/>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US" sz="1100"/>
          </a:p>
        </xdr:txBody>
      </xdr:sp>
      <xdr:pic macro="[0]!PrintBlindList1Pager">
        <xdr:nvPicPr>
          <xdr:cNvPr id="18" name="Graphic 17" descr="Printer">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2696825" y="1685925"/>
            <a:ext cx="257175" cy="257175"/>
          </a:xfrm>
          <a:prstGeom prst="rect">
            <a:avLst/>
          </a:prstGeom>
        </xdr:spPr>
      </xdr:pic>
      <xdr:sp macro="[0]!PrintBlindList1Pager" textlink="">
        <xdr:nvSpPr>
          <xdr:cNvPr id="19" name="TextBox 18">
            <a:extLst>
              <a:ext uri="{FF2B5EF4-FFF2-40B4-BE49-F238E27FC236}">
                <a16:creationId xmlns:a16="http://schemas.microsoft.com/office/drawing/2014/main" id="{00000000-0008-0000-0100-000013000000}"/>
              </a:ext>
            </a:extLst>
          </xdr:cNvPr>
          <xdr:cNvSpPr txBox="1"/>
        </xdr:nvSpPr>
        <xdr:spPr>
          <a:xfrm>
            <a:off x="12925425" y="1571625"/>
            <a:ext cx="962025"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rPr>
              <a:t>1</a:t>
            </a:r>
            <a:r>
              <a:rPr lang="en-US" sz="1200" b="1" baseline="0">
                <a:solidFill>
                  <a:schemeClr val="bg1"/>
                </a:solidFill>
              </a:rPr>
              <a:t> Page </a:t>
            </a:r>
          </a:p>
          <a:p>
            <a:pPr algn="ctr"/>
            <a:r>
              <a:rPr lang="en-US" sz="1200" b="1" baseline="0">
                <a:solidFill>
                  <a:schemeClr val="bg1"/>
                </a:solidFill>
              </a:rPr>
              <a:t>Blind List</a:t>
            </a:r>
            <a:endParaRPr lang="en-US" sz="1200" b="1">
              <a:solidFill>
                <a:schemeClr val="bg1"/>
              </a:solidFill>
            </a:endParaRPr>
          </a:p>
        </xdr:txBody>
      </xdr:sp>
    </xdr:grpSp>
    <xdr:clientData/>
  </xdr:twoCellAnchor>
  <xdr:twoCellAnchor>
    <xdr:from>
      <xdr:col>5</xdr:col>
      <xdr:colOff>685800</xdr:colOff>
      <xdr:row>6</xdr:row>
      <xdr:rowOff>171450</xdr:rowOff>
    </xdr:from>
    <xdr:to>
      <xdr:col>8</xdr:col>
      <xdr:colOff>219075</xdr:colOff>
      <xdr:row>9</xdr:row>
      <xdr:rowOff>142875</xdr:rowOff>
    </xdr:to>
    <xdr:grpSp>
      <xdr:nvGrpSpPr>
        <xdr:cNvPr id="20" name="Group 19">
          <a:extLst>
            <a:ext uri="{FF2B5EF4-FFF2-40B4-BE49-F238E27FC236}">
              <a16:creationId xmlns:a16="http://schemas.microsoft.com/office/drawing/2014/main" id="{00000000-0008-0000-0100-000014000000}"/>
            </a:ext>
          </a:extLst>
        </xdr:cNvPr>
        <xdr:cNvGrpSpPr/>
      </xdr:nvGrpSpPr>
      <xdr:grpSpPr>
        <a:xfrm>
          <a:off x="5924550" y="2085975"/>
          <a:ext cx="1495425" cy="542925"/>
          <a:chOff x="12506324" y="1543050"/>
          <a:chExt cx="1495425" cy="542925"/>
        </a:xfrm>
      </xdr:grpSpPr>
      <xdr:sp macro="[0]!PrintBlindList2Pager" textlink="">
        <xdr:nvSpPr>
          <xdr:cNvPr id="21" name="Rectangle: Rounded Corners 20">
            <a:extLst>
              <a:ext uri="{FF2B5EF4-FFF2-40B4-BE49-F238E27FC236}">
                <a16:creationId xmlns:a16="http://schemas.microsoft.com/office/drawing/2014/main" id="{00000000-0008-0000-0100-000015000000}"/>
              </a:ext>
            </a:extLst>
          </xdr:cNvPr>
          <xdr:cNvSpPr/>
        </xdr:nvSpPr>
        <xdr:spPr>
          <a:xfrm>
            <a:off x="12506324" y="1543050"/>
            <a:ext cx="1495425" cy="542925"/>
          </a:xfrm>
          <a:prstGeom prst="roundRect">
            <a:avLst>
              <a:gd name="adj" fmla="val 41228"/>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US" sz="1100"/>
          </a:p>
        </xdr:txBody>
      </xdr:sp>
      <xdr:pic macro="[0]!PrintBlindList2Pager">
        <xdr:nvPicPr>
          <xdr:cNvPr id="22" name="Graphic 21" descr="Printer">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2696825" y="1685925"/>
            <a:ext cx="257175" cy="257175"/>
          </a:xfrm>
          <a:prstGeom prst="rect">
            <a:avLst/>
          </a:prstGeom>
        </xdr:spPr>
      </xdr:pic>
      <xdr:sp macro="[0]!PrintBlindList2Pager" textlink="">
        <xdr:nvSpPr>
          <xdr:cNvPr id="23" name="TextBox 22">
            <a:extLst>
              <a:ext uri="{FF2B5EF4-FFF2-40B4-BE49-F238E27FC236}">
                <a16:creationId xmlns:a16="http://schemas.microsoft.com/office/drawing/2014/main" id="{00000000-0008-0000-0100-000017000000}"/>
              </a:ext>
            </a:extLst>
          </xdr:cNvPr>
          <xdr:cNvSpPr txBox="1"/>
        </xdr:nvSpPr>
        <xdr:spPr>
          <a:xfrm>
            <a:off x="12925425" y="1571625"/>
            <a:ext cx="962025"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baseline="0">
                <a:solidFill>
                  <a:schemeClr val="bg1"/>
                </a:solidFill>
              </a:rPr>
              <a:t>2 Page </a:t>
            </a:r>
          </a:p>
          <a:p>
            <a:pPr algn="ctr"/>
            <a:r>
              <a:rPr lang="en-US" sz="1200" b="1" baseline="0">
                <a:solidFill>
                  <a:schemeClr val="bg1"/>
                </a:solidFill>
              </a:rPr>
              <a:t>Blind List</a:t>
            </a:r>
            <a:endParaRPr lang="en-US" sz="1200" b="1">
              <a:solidFill>
                <a:schemeClr val="bg1"/>
              </a:solidFill>
            </a:endParaRPr>
          </a:p>
        </xdr:txBody>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4</xdr:row>
          <xdr:rowOff>28575</xdr:rowOff>
        </xdr:from>
        <xdr:to>
          <xdr:col>18</xdr:col>
          <xdr:colOff>9525</xdr:colOff>
          <xdr:row>4</xdr:row>
          <xdr:rowOff>219075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02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4</xdr:row>
          <xdr:rowOff>47625</xdr:rowOff>
        </xdr:from>
        <xdr:to>
          <xdr:col>21</xdr:col>
          <xdr:colOff>19050</xdr:colOff>
          <xdr:row>4</xdr:row>
          <xdr:rowOff>219075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02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142875</xdr:colOff>
          <xdr:row>5</xdr:row>
          <xdr:rowOff>19050</xdr:rowOff>
        </xdr:from>
        <xdr:to>
          <xdr:col>18</xdr:col>
          <xdr:colOff>161925</xdr:colOff>
          <xdr:row>5</xdr:row>
          <xdr:rowOff>209550</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02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xdr:row>
          <xdr:rowOff>28575</xdr:rowOff>
        </xdr:from>
        <xdr:to>
          <xdr:col>12</xdr:col>
          <xdr:colOff>0</xdr:colOff>
          <xdr:row>5</xdr:row>
          <xdr:rowOff>28575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02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xdr:row>
          <xdr:rowOff>38100</xdr:rowOff>
        </xdr:from>
        <xdr:to>
          <xdr:col>9</xdr:col>
          <xdr:colOff>19050</xdr:colOff>
          <xdr:row>4</xdr:row>
          <xdr:rowOff>228600</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02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4</xdr:row>
          <xdr:rowOff>19050</xdr:rowOff>
        </xdr:from>
        <xdr:to>
          <xdr:col>8</xdr:col>
          <xdr:colOff>19050</xdr:colOff>
          <xdr:row>4</xdr:row>
          <xdr:rowOff>209550</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02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495300</xdr:colOff>
          <xdr:row>28</xdr:row>
          <xdr:rowOff>0</xdr:rowOff>
        </xdr:from>
        <xdr:to>
          <xdr:col>31</xdr:col>
          <xdr:colOff>47625</xdr:colOff>
          <xdr:row>30</xdr:row>
          <xdr:rowOff>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02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35</xdr:row>
          <xdr:rowOff>28575</xdr:rowOff>
        </xdr:from>
        <xdr:to>
          <xdr:col>12</xdr:col>
          <xdr:colOff>0</xdr:colOff>
          <xdr:row>35</xdr:row>
          <xdr:rowOff>28575</xdr:rowOff>
        </xdr:to>
        <xdr:sp macro="" textlink="">
          <xdr:nvSpPr>
            <xdr:cNvPr id="1196" name="Check Box 172" hidden="1">
              <a:extLst>
                <a:ext uri="{63B3BB69-23CF-44E3-9099-C40C66FF867C}">
                  <a14:compatExt spid="_x0000_s1196"/>
                </a:ext>
                <a:ext uri="{FF2B5EF4-FFF2-40B4-BE49-F238E27FC236}">
                  <a16:creationId xmlns:a16="http://schemas.microsoft.com/office/drawing/2014/main" id="{00000000-0008-0000-0200-0000A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34</xdr:row>
          <xdr:rowOff>19050</xdr:rowOff>
        </xdr:from>
        <xdr:to>
          <xdr:col>8</xdr:col>
          <xdr:colOff>19050</xdr:colOff>
          <xdr:row>34</xdr:row>
          <xdr:rowOff>209550</xdr:rowOff>
        </xdr:to>
        <xdr:sp macro="" textlink="">
          <xdr:nvSpPr>
            <xdr:cNvPr id="1199" name="Check Box 175" hidden="1">
              <a:extLst>
                <a:ext uri="{63B3BB69-23CF-44E3-9099-C40C66FF867C}">
                  <a14:compatExt spid="_x0000_s1199"/>
                </a:ext>
                <a:ext uri="{FF2B5EF4-FFF2-40B4-BE49-F238E27FC236}">
                  <a16:creationId xmlns:a16="http://schemas.microsoft.com/office/drawing/2014/main" id="{00000000-0008-0000-0200-0000A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65</xdr:row>
          <xdr:rowOff>28575</xdr:rowOff>
        </xdr:from>
        <xdr:to>
          <xdr:col>12</xdr:col>
          <xdr:colOff>0</xdr:colOff>
          <xdr:row>65</xdr:row>
          <xdr:rowOff>28575</xdr:rowOff>
        </xdr:to>
        <xdr:sp macro="" textlink="">
          <xdr:nvSpPr>
            <xdr:cNvPr id="1207" name="Check Box 183" hidden="1">
              <a:extLst>
                <a:ext uri="{63B3BB69-23CF-44E3-9099-C40C66FF867C}">
                  <a14:compatExt spid="_x0000_s1207"/>
                </a:ext>
                <a:ext uri="{FF2B5EF4-FFF2-40B4-BE49-F238E27FC236}">
                  <a16:creationId xmlns:a16="http://schemas.microsoft.com/office/drawing/2014/main" id="{00000000-0008-0000-0200-0000B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64</xdr:row>
          <xdr:rowOff>19050</xdr:rowOff>
        </xdr:from>
        <xdr:to>
          <xdr:col>8</xdr:col>
          <xdr:colOff>19050</xdr:colOff>
          <xdr:row>64</xdr:row>
          <xdr:rowOff>209550</xdr:rowOff>
        </xdr:to>
        <xdr:sp macro="" textlink="">
          <xdr:nvSpPr>
            <xdr:cNvPr id="1210" name="Check Box 186" hidden="1">
              <a:extLst>
                <a:ext uri="{63B3BB69-23CF-44E3-9099-C40C66FF867C}">
                  <a14:compatExt spid="_x0000_s1210"/>
                </a:ext>
                <a:ext uri="{FF2B5EF4-FFF2-40B4-BE49-F238E27FC236}">
                  <a16:creationId xmlns:a16="http://schemas.microsoft.com/office/drawing/2014/main" id="{00000000-0008-0000-0200-0000B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96</xdr:row>
          <xdr:rowOff>28575</xdr:rowOff>
        </xdr:from>
        <xdr:to>
          <xdr:col>12</xdr:col>
          <xdr:colOff>0</xdr:colOff>
          <xdr:row>96</xdr:row>
          <xdr:rowOff>28575</xdr:rowOff>
        </xdr:to>
        <xdr:sp macro="" textlink="">
          <xdr:nvSpPr>
            <xdr:cNvPr id="1218" name="Check Box 194" hidden="1">
              <a:extLst>
                <a:ext uri="{63B3BB69-23CF-44E3-9099-C40C66FF867C}">
                  <a14:compatExt spid="_x0000_s1218"/>
                </a:ext>
                <a:ext uri="{FF2B5EF4-FFF2-40B4-BE49-F238E27FC236}">
                  <a16:creationId xmlns:a16="http://schemas.microsoft.com/office/drawing/2014/main" id="{00000000-0008-0000-0200-0000C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95</xdr:row>
          <xdr:rowOff>19050</xdr:rowOff>
        </xdr:from>
        <xdr:to>
          <xdr:col>8</xdr:col>
          <xdr:colOff>19050</xdr:colOff>
          <xdr:row>95</xdr:row>
          <xdr:rowOff>209550</xdr:rowOff>
        </xdr:to>
        <xdr:sp macro="" textlink="">
          <xdr:nvSpPr>
            <xdr:cNvPr id="1221" name="Check Box 197" hidden="1">
              <a:extLst>
                <a:ext uri="{63B3BB69-23CF-44E3-9099-C40C66FF867C}">
                  <a14:compatExt spid="_x0000_s1221"/>
                </a:ext>
                <a:ext uri="{FF2B5EF4-FFF2-40B4-BE49-F238E27FC236}">
                  <a16:creationId xmlns:a16="http://schemas.microsoft.com/office/drawing/2014/main" id="{00000000-0008-0000-0200-0000C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126</xdr:row>
          <xdr:rowOff>28575</xdr:rowOff>
        </xdr:from>
        <xdr:to>
          <xdr:col>12</xdr:col>
          <xdr:colOff>0</xdr:colOff>
          <xdr:row>126</xdr:row>
          <xdr:rowOff>28575</xdr:rowOff>
        </xdr:to>
        <xdr:sp macro="" textlink="">
          <xdr:nvSpPr>
            <xdr:cNvPr id="1229" name="Check Box 205" hidden="1">
              <a:extLst>
                <a:ext uri="{63B3BB69-23CF-44E3-9099-C40C66FF867C}">
                  <a14:compatExt spid="_x0000_s1229"/>
                </a:ext>
                <a:ext uri="{FF2B5EF4-FFF2-40B4-BE49-F238E27FC236}">
                  <a16:creationId xmlns:a16="http://schemas.microsoft.com/office/drawing/2014/main" id="{00000000-0008-0000-0200-0000C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125</xdr:row>
          <xdr:rowOff>19050</xdr:rowOff>
        </xdr:from>
        <xdr:to>
          <xdr:col>8</xdr:col>
          <xdr:colOff>19050</xdr:colOff>
          <xdr:row>126</xdr:row>
          <xdr:rowOff>19050</xdr:rowOff>
        </xdr:to>
        <xdr:sp macro="" textlink="">
          <xdr:nvSpPr>
            <xdr:cNvPr id="1232" name="Check Box 208" hidden="1">
              <a:extLst>
                <a:ext uri="{63B3BB69-23CF-44E3-9099-C40C66FF867C}">
                  <a14:compatExt spid="_x0000_s1232"/>
                </a:ext>
                <a:ext uri="{FF2B5EF4-FFF2-40B4-BE49-F238E27FC236}">
                  <a16:creationId xmlns:a16="http://schemas.microsoft.com/office/drawing/2014/main" id="{00000000-0008-0000-0200-0000D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63</xdr:row>
          <xdr:rowOff>28575</xdr:rowOff>
        </xdr:from>
        <xdr:to>
          <xdr:col>12</xdr:col>
          <xdr:colOff>0</xdr:colOff>
          <xdr:row>63</xdr:row>
          <xdr:rowOff>28575</xdr:rowOff>
        </xdr:to>
        <xdr:sp macro="" textlink="">
          <xdr:nvSpPr>
            <xdr:cNvPr id="1258" name="Check Box 234" hidden="1">
              <a:extLst>
                <a:ext uri="{63B3BB69-23CF-44E3-9099-C40C66FF867C}">
                  <a14:compatExt spid="_x0000_s1258"/>
                </a:ext>
                <a:ext uri="{FF2B5EF4-FFF2-40B4-BE49-F238E27FC236}">
                  <a16:creationId xmlns:a16="http://schemas.microsoft.com/office/drawing/2014/main" id="{00000000-0008-0000-0200-0000E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62</xdr:row>
          <xdr:rowOff>19050</xdr:rowOff>
        </xdr:from>
        <xdr:to>
          <xdr:col>8</xdr:col>
          <xdr:colOff>19050</xdr:colOff>
          <xdr:row>62</xdr:row>
          <xdr:rowOff>209550</xdr:rowOff>
        </xdr:to>
        <xdr:sp macro="" textlink="">
          <xdr:nvSpPr>
            <xdr:cNvPr id="1259" name="Check Box 235" hidden="1">
              <a:extLst>
                <a:ext uri="{63B3BB69-23CF-44E3-9099-C40C66FF867C}">
                  <a14:compatExt spid="_x0000_s1259"/>
                </a:ext>
                <a:ext uri="{FF2B5EF4-FFF2-40B4-BE49-F238E27FC236}">
                  <a16:creationId xmlns:a16="http://schemas.microsoft.com/office/drawing/2014/main" id="{00000000-0008-0000-0200-0000E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94</xdr:row>
          <xdr:rowOff>28575</xdr:rowOff>
        </xdr:from>
        <xdr:to>
          <xdr:col>12</xdr:col>
          <xdr:colOff>0</xdr:colOff>
          <xdr:row>94</xdr:row>
          <xdr:rowOff>28575</xdr:rowOff>
        </xdr:to>
        <xdr:sp macro="" textlink="">
          <xdr:nvSpPr>
            <xdr:cNvPr id="1260" name="Check Box 236" hidden="1">
              <a:extLst>
                <a:ext uri="{63B3BB69-23CF-44E3-9099-C40C66FF867C}">
                  <a14:compatExt spid="_x0000_s1260"/>
                </a:ext>
                <a:ext uri="{FF2B5EF4-FFF2-40B4-BE49-F238E27FC236}">
                  <a16:creationId xmlns:a16="http://schemas.microsoft.com/office/drawing/2014/main" id="{00000000-0008-0000-0200-0000E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93</xdr:row>
          <xdr:rowOff>19050</xdr:rowOff>
        </xdr:from>
        <xdr:to>
          <xdr:col>8</xdr:col>
          <xdr:colOff>19050</xdr:colOff>
          <xdr:row>93</xdr:row>
          <xdr:rowOff>209550</xdr:rowOff>
        </xdr:to>
        <xdr:sp macro="" textlink="">
          <xdr:nvSpPr>
            <xdr:cNvPr id="1261" name="Check Box 237" hidden="1">
              <a:extLst>
                <a:ext uri="{63B3BB69-23CF-44E3-9099-C40C66FF867C}">
                  <a14:compatExt spid="_x0000_s1261"/>
                </a:ext>
                <a:ext uri="{FF2B5EF4-FFF2-40B4-BE49-F238E27FC236}">
                  <a16:creationId xmlns:a16="http://schemas.microsoft.com/office/drawing/2014/main" id="{00000000-0008-0000-0200-0000E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92</xdr:row>
          <xdr:rowOff>28575</xdr:rowOff>
        </xdr:from>
        <xdr:to>
          <xdr:col>12</xdr:col>
          <xdr:colOff>0</xdr:colOff>
          <xdr:row>92</xdr:row>
          <xdr:rowOff>28575</xdr:rowOff>
        </xdr:to>
        <xdr:sp macro="" textlink="">
          <xdr:nvSpPr>
            <xdr:cNvPr id="1262" name="Check Box 238" hidden="1">
              <a:extLst>
                <a:ext uri="{63B3BB69-23CF-44E3-9099-C40C66FF867C}">
                  <a14:compatExt spid="_x0000_s1262"/>
                </a:ext>
                <a:ext uri="{FF2B5EF4-FFF2-40B4-BE49-F238E27FC236}">
                  <a16:creationId xmlns:a16="http://schemas.microsoft.com/office/drawing/2014/main" id="{00000000-0008-0000-0200-0000E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91</xdr:row>
          <xdr:rowOff>19050</xdr:rowOff>
        </xdr:from>
        <xdr:to>
          <xdr:col>8</xdr:col>
          <xdr:colOff>19050</xdr:colOff>
          <xdr:row>91</xdr:row>
          <xdr:rowOff>209550</xdr:rowOff>
        </xdr:to>
        <xdr:sp macro="" textlink="">
          <xdr:nvSpPr>
            <xdr:cNvPr id="1263" name="Check Box 239" hidden="1">
              <a:extLst>
                <a:ext uri="{63B3BB69-23CF-44E3-9099-C40C66FF867C}">
                  <a14:compatExt spid="_x0000_s1263"/>
                </a:ext>
                <a:ext uri="{FF2B5EF4-FFF2-40B4-BE49-F238E27FC236}">
                  <a16:creationId xmlns:a16="http://schemas.microsoft.com/office/drawing/2014/main" id="{00000000-0008-0000-0200-0000E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4</xdr:row>
          <xdr:rowOff>38100</xdr:rowOff>
        </xdr:from>
        <xdr:to>
          <xdr:col>12</xdr:col>
          <xdr:colOff>38100</xdr:colOff>
          <xdr:row>4</xdr:row>
          <xdr:rowOff>228600</xdr:rowOff>
        </xdr:to>
        <xdr:sp macro="" textlink="">
          <xdr:nvSpPr>
            <xdr:cNvPr id="1267" name="Check Box 243" hidden="1">
              <a:extLst>
                <a:ext uri="{63B3BB69-23CF-44E3-9099-C40C66FF867C}">
                  <a14:compatExt spid="_x0000_s1267"/>
                </a:ext>
                <a:ext uri="{FF2B5EF4-FFF2-40B4-BE49-F238E27FC236}">
                  <a16:creationId xmlns:a16="http://schemas.microsoft.com/office/drawing/2014/main" id="{00000000-0008-0000-0200-0000F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5</xdr:row>
          <xdr:rowOff>28575</xdr:rowOff>
        </xdr:from>
        <xdr:to>
          <xdr:col>3</xdr:col>
          <xdr:colOff>47625</xdr:colOff>
          <xdr:row>5</xdr:row>
          <xdr:rowOff>219075</xdr:rowOff>
        </xdr:to>
        <xdr:sp macro="" textlink="">
          <xdr:nvSpPr>
            <xdr:cNvPr id="1268" name="Check Box 244" hidden="1">
              <a:extLst>
                <a:ext uri="{63B3BB69-23CF-44E3-9099-C40C66FF867C}">
                  <a14:compatExt spid="_x0000_s1268"/>
                </a:ext>
                <a:ext uri="{FF2B5EF4-FFF2-40B4-BE49-F238E27FC236}">
                  <a16:creationId xmlns:a16="http://schemas.microsoft.com/office/drawing/2014/main" id="{00000000-0008-0000-0200-0000F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190500</xdr:colOff>
          <xdr:row>5</xdr:row>
          <xdr:rowOff>28575</xdr:rowOff>
        </xdr:from>
        <xdr:to>
          <xdr:col>7</xdr:col>
          <xdr:colOff>9525</xdr:colOff>
          <xdr:row>5</xdr:row>
          <xdr:rowOff>219075</xdr:rowOff>
        </xdr:to>
        <xdr:sp macro="" textlink="">
          <xdr:nvSpPr>
            <xdr:cNvPr id="1269" name="Check Box 245" hidden="1">
              <a:extLst>
                <a:ext uri="{63B3BB69-23CF-44E3-9099-C40C66FF867C}">
                  <a14:compatExt spid="_x0000_s1269"/>
                </a:ext>
                <a:ext uri="{FF2B5EF4-FFF2-40B4-BE49-F238E27FC236}">
                  <a16:creationId xmlns:a16="http://schemas.microsoft.com/office/drawing/2014/main" id="{00000000-0008-0000-0200-0000F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5</xdr:row>
          <xdr:rowOff>38100</xdr:rowOff>
        </xdr:from>
        <xdr:to>
          <xdr:col>10</xdr:col>
          <xdr:colOff>38100</xdr:colOff>
          <xdr:row>5</xdr:row>
          <xdr:rowOff>228600</xdr:rowOff>
        </xdr:to>
        <xdr:sp macro="" textlink="">
          <xdr:nvSpPr>
            <xdr:cNvPr id="1270" name="Check Box 246" hidden="1">
              <a:extLst>
                <a:ext uri="{63B3BB69-23CF-44E3-9099-C40C66FF867C}">
                  <a14:compatExt spid="_x0000_s1270"/>
                </a:ext>
                <a:ext uri="{FF2B5EF4-FFF2-40B4-BE49-F238E27FC236}">
                  <a16:creationId xmlns:a16="http://schemas.microsoft.com/office/drawing/2014/main" id="{00000000-0008-0000-0200-0000F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190500</xdr:colOff>
          <xdr:row>5</xdr:row>
          <xdr:rowOff>38100</xdr:rowOff>
        </xdr:from>
        <xdr:to>
          <xdr:col>13</xdr:col>
          <xdr:colOff>9525</xdr:colOff>
          <xdr:row>5</xdr:row>
          <xdr:rowOff>228600</xdr:rowOff>
        </xdr:to>
        <xdr:sp macro="" textlink="">
          <xdr:nvSpPr>
            <xdr:cNvPr id="1271" name="Check Box 247" hidden="1">
              <a:extLst>
                <a:ext uri="{63B3BB69-23CF-44E3-9099-C40C66FF867C}">
                  <a14:compatExt spid="_x0000_s1271"/>
                </a:ext>
                <a:ext uri="{FF2B5EF4-FFF2-40B4-BE49-F238E27FC236}">
                  <a16:creationId xmlns:a16="http://schemas.microsoft.com/office/drawing/2014/main" id="{00000000-0008-0000-0200-0000F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4</xdr:row>
          <xdr:rowOff>38100</xdr:rowOff>
        </xdr:from>
        <xdr:to>
          <xdr:col>22</xdr:col>
          <xdr:colOff>85725</xdr:colOff>
          <xdr:row>4</xdr:row>
          <xdr:rowOff>228600</xdr:rowOff>
        </xdr:to>
        <xdr:sp macro="" textlink="">
          <xdr:nvSpPr>
            <xdr:cNvPr id="1273" name="Check Box 249" hidden="1">
              <a:extLst>
                <a:ext uri="{63B3BB69-23CF-44E3-9099-C40C66FF867C}">
                  <a14:compatExt spid="_x0000_s1273"/>
                </a:ext>
                <a:ext uri="{FF2B5EF4-FFF2-40B4-BE49-F238E27FC236}">
                  <a16:creationId xmlns:a16="http://schemas.microsoft.com/office/drawing/2014/main" id="{00000000-0008-0000-0200-0000F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63</xdr:row>
          <xdr:rowOff>28575</xdr:rowOff>
        </xdr:from>
        <xdr:to>
          <xdr:col>12</xdr:col>
          <xdr:colOff>0</xdr:colOff>
          <xdr:row>63</xdr:row>
          <xdr:rowOff>28575</xdr:rowOff>
        </xdr:to>
        <xdr:sp macro="" textlink="">
          <xdr:nvSpPr>
            <xdr:cNvPr id="1277" name="Check Box 253" hidden="1">
              <a:extLst>
                <a:ext uri="{63B3BB69-23CF-44E3-9099-C40C66FF867C}">
                  <a14:compatExt spid="_x0000_s1277"/>
                </a:ext>
                <a:ext uri="{FF2B5EF4-FFF2-40B4-BE49-F238E27FC236}">
                  <a16:creationId xmlns:a16="http://schemas.microsoft.com/office/drawing/2014/main" id="{00000000-0008-0000-0200-0000F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62</xdr:row>
          <xdr:rowOff>19050</xdr:rowOff>
        </xdr:from>
        <xdr:to>
          <xdr:col>8</xdr:col>
          <xdr:colOff>19050</xdr:colOff>
          <xdr:row>62</xdr:row>
          <xdr:rowOff>209550</xdr:rowOff>
        </xdr:to>
        <xdr:sp macro="" textlink="">
          <xdr:nvSpPr>
            <xdr:cNvPr id="1278" name="Check Box 254" hidden="1">
              <a:extLst>
                <a:ext uri="{63B3BB69-23CF-44E3-9099-C40C66FF867C}">
                  <a14:compatExt spid="_x0000_s1278"/>
                </a:ext>
                <a:ext uri="{FF2B5EF4-FFF2-40B4-BE49-F238E27FC236}">
                  <a16:creationId xmlns:a16="http://schemas.microsoft.com/office/drawing/2014/main" id="{00000000-0008-0000-0200-0000F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28574</xdr:colOff>
      <xdr:row>0</xdr:row>
      <xdr:rowOff>9524</xdr:rowOff>
    </xdr:from>
    <xdr:to>
      <xdr:col>30</xdr:col>
      <xdr:colOff>68981</xdr:colOff>
      <xdr:row>0</xdr:row>
      <xdr:rowOff>761999</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37103" y="9524"/>
          <a:ext cx="6640672" cy="752475"/>
        </a:xfrm>
        <a:prstGeom prst="rect">
          <a:avLst/>
        </a:prstGeom>
      </xdr:spPr>
    </xdr:pic>
    <xdr:clientData/>
  </xdr:twoCellAnchor>
  <xdr:twoCellAnchor editAs="oneCell">
    <xdr:from>
      <xdr:col>4</xdr:col>
      <xdr:colOff>28574</xdr:colOff>
      <xdr:row>30</xdr:row>
      <xdr:rowOff>47625</xdr:rowOff>
    </xdr:from>
    <xdr:to>
      <xdr:col>30</xdr:col>
      <xdr:colOff>67300</xdr:colOff>
      <xdr:row>30</xdr:row>
      <xdr:rowOff>800100</xdr:rowOff>
    </xdr:to>
    <xdr:pic>
      <xdr:nvPicPr>
        <xdr:cNvPr id="35" name="Picture 34">
          <a:extLst>
            <a:ext uri="{FF2B5EF4-FFF2-40B4-BE49-F238E27FC236}">
              <a16:creationId xmlns:a16="http://schemas.microsoft.com/office/drawing/2014/main" id="{00000000-0008-0000-0200-00002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37103" y="6591860"/>
          <a:ext cx="6638991" cy="7524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12</xdr:col>
          <xdr:colOff>0</xdr:colOff>
          <xdr:row>35</xdr:row>
          <xdr:rowOff>28575</xdr:rowOff>
        </xdr:from>
        <xdr:to>
          <xdr:col>12</xdr:col>
          <xdr:colOff>0</xdr:colOff>
          <xdr:row>35</xdr:row>
          <xdr:rowOff>28575</xdr:rowOff>
        </xdr:to>
        <xdr:sp macro="" textlink="">
          <xdr:nvSpPr>
            <xdr:cNvPr id="1285" name="Check Box 261" hidden="1">
              <a:extLst>
                <a:ext uri="{63B3BB69-23CF-44E3-9099-C40C66FF867C}">
                  <a14:compatExt spid="_x0000_s1285"/>
                </a:ext>
                <a:ext uri="{FF2B5EF4-FFF2-40B4-BE49-F238E27FC236}">
                  <a16:creationId xmlns:a16="http://schemas.microsoft.com/office/drawing/2014/main" id="{00000000-0008-0000-0200-00000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34</xdr:row>
          <xdr:rowOff>19050</xdr:rowOff>
        </xdr:from>
        <xdr:to>
          <xdr:col>8</xdr:col>
          <xdr:colOff>19050</xdr:colOff>
          <xdr:row>34</xdr:row>
          <xdr:rowOff>209550</xdr:rowOff>
        </xdr:to>
        <xdr:sp macro="" textlink="">
          <xdr:nvSpPr>
            <xdr:cNvPr id="1287" name="Check Box 263" hidden="1">
              <a:extLst>
                <a:ext uri="{63B3BB69-23CF-44E3-9099-C40C66FF867C}">
                  <a14:compatExt spid="_x0000_s1287"/>
                </a:ext>
                <a:ext uri="{FF2B5EF4-FFF2-40B4-BE49-F238E27FC236}">
                  <a16:creationId xmlns:a16="http://schemas.microsoft.com/office/drawing/2014/main" id="{00000000-0008-0000-0200-00000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64</xdr:row>
          <xdr:rowOff>28575</xdr:rowOff>
        </xdr:from>
        <xdr:to>
          <xdr:col>12</xdr:col>
          <xdr:colOff>0</xdr:colOff>
          <xdr:row>64</xdr:row>
          <xdr:rowOff>28575</xdr:rowOff>
        </xdr:to>
        <xdr:sp macro="" textlink="">
          <xdr:nvSpPr>
            <xdr:cNvPr id="1295" name="Check Box 271" hidden="1">
              <a:extLst>
                <a:ext uri="{63B3BB69-23CF-44E3-9099-C40C66FF867C}">
                  <a14:compatExt spid="_x0000_s1295"/>
                </a:ext>
                <a:ext uri="{FF2B5EF4-FFF2-40B4-BE49-F238E27FC236}">
                  <a16:creationId xmlns:a16="http://schemas.microsoft.com/office/drawing/2014/main" id="{00000000-0008-0000-0200-00000F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63</xdr:row>
          <xdr:rowOff>19050</xdr:rowOff>
        </xdr:from>
        <xdr:to>
          <xdr:col>8</xdr:col>
          <xdr:colOff>19050</xdr:colOff>
          <xdr:row>63</xdr:row>
          <xdr:rowOff>209550</xdr:rowOff>
        </xdr:to>
        <xdr:sp macro="" textlink="">
          <xdr:nvSpPr>
            <xdr:cNvPr id="1296" name="Check Box 272" hidden="1">
              <a:extLst>
                <a:ext uri="{63B3BB69-23CF-44E3-9099-C40C66FF867C}">
                  <a14:compatExt spid="_x0000_s1296"/>
                </a:ext>
                <a:ext uri="{FF2B5EF4-FFF2-40B4-BE49-F238E27FC236}">
                  <a16:creationId xmlns:a16="http://schemas.microsoft.com/office/drawing/2014/main" id="{00000000-0008-0000-0200-00001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4</xdr:col>
      <xdr:colOff>28574</xdr:colOff>
      <xdr:row>59</xdr:row>
      <xdr:rowOff>47625</xdr:rowOff>
    </xdr:from>
    <xdr:ext cx="6612657" cy="752475"/>
    <xdr:pic>
      <xdr:nvPicPr>
        <xdr:cNvPr id="47" name="Picture 46">
          <a:extLst>
            <a:ext uri="{FF2B5EF4-FFF2-40B4-BE49-F238E27FC236}">
              <a16:creationId xmlns:a16="http://schemas.microsoft.com/office/drawing/2014/main" id="{00000000-0008-0000-0200-00002F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37103" y="13180919"/>
          <a:ext cx="6612657" cy="752475"/>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12</xdr:col>
          <xdr:colOff>0</xdr:colOff>
          <xdr:row>64</xdr:row>
          <xdr:rowOff>28575</xdr:rowOff>
        </xdr:from>
        <xdr:to>
          <xdr:col>12</xdr:col>
          <xdr:colOff>0</xdr:colOff>
          <xdr:row>64</xdr:row>
          <xdr:rowOff>28575</xdr:rowOff>
        </xdr:to>
        <xdr:sp macro="" textlink="">
          <xdr:nvSpPr>
            <xdr:cNvPr id="1300" name="Check Box 276" hidden="1">
              <a:extLst>
                <a:ext uri="{63B3BB69-23CF-44E3-9099-C40C66FF867C}">
                  <a14:compatExt spid="_x0000_s1300"/>
                </a:ext>
                <a:ext uri="{FF2B5EF4-FFF2-40B4-BE49-F238E27FC236}">
                  <a16:creationId xmlns:a16="http://schemas.microsoft.com/office/drawing/2014/main" id="{00000000-0008-0000-0200-00001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63</xdr:row>
          <xdr:rowOff>19050</xdr:rowOff>
        </xdr:from>
        <xdr:to>
          <xdr:col>8</xdr:col>
          <xdr:colOff>19050</xdr:colOff>
          <xdr:row>63</xdr:row>
          <xdr:rowOff>209550</xdr:rowOff>
        </xdr:to>
        <xdr:sp macro="" textlink="">
          <xdr:nvSpPr>
            <xdr:cNvPr id="1302" name="Check Box 278" hidden="1">
              <a:extLst>
                <a:ext uri="{63B3BB69-23CF-44E3-9099-C40C66FF867C}">
                  <a14:compatExt spid="_x0000_s1302"/>
                </a:ext>
                <a:ext uri="{FF2B5EF4-FFF2-40B4-BE49-F238E27FC236}">
                  <a16:creationId xmlns:a16="http://schemas.microsoft.com/office/drawing/2014/main" id="{00000000-0008-0000-0200-00001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94</xdr:row>
          <xdr:rowOff>28575</xdr:rowOff>
        </xdr:from>
        <xdr:to>
          <xdr:col>12</xdr:col>
          <xdr:colOff>0</xdr:colOff>
          <xdr:row>94</xdr:row>
          <xdr:rowOff>28575</xdr:rowOff>
        </xdr:to>
        <xdr:sp macro="" textlink="">
          <xdr:nvSpPr>
            <xdr:cNvPr id="1309" name="Check Box 285" hidden="1">
              <a:extLst>
                <a:ext uri="{63B3BB69-23CF-44E3-9099-C40C66FF867C}">
                  <a14:compatExt spid="_x0000_s1309"/>
                </a:ext>
                <a:ext uri="{FF2B5EF4-FFF2-40B4-BE49-F238E27FC236}">
                  <a16:creationId xmlns:a16="http://schemas.microsoft.com/office/drawing/2014/main" id="{00000000-0008-0000-0200-00001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93</xdr:row>
          <xdr:rowOff>19050</xdr:rowOff>
        </xdr:from>
        <xdr:to>
          <xdr:col>8</xdr:col>
          <xdr:colOff>19050</xdr:colOff>
          <xdr:row>93</xdr:row>
          <xdr:rowOff>209550</xdr:rowOff>
        </xdr:to>
        <xdr:sp macro="" textlink="">
          <xdr:nvSpPr>
            <xdr:cNvPr id="1310" name="Check Box 286" hidden="1">
              <a:extLst>
                <a:ext uri="{63B3BB69-23CF-44E3-9099-C40C66FF867C}">
                  <a14:compatExt spid="_x0000_s1310"/>
                </a:ext>
                <a:ext uri="{FF2B5EF4-FFF2-40B4-BE49-F238E27FC236}">
                  <a16:creationId xmlns:a16="http://schemas.microsoft.com/office/drawing/2014/main" id="{00000000-0008-0000-0200-00001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92</xdr:row>
          <xdr:rowOff>28575</xdr:rowOff>
        </xdr:from>
        <xdr:to>
          <xdr:col>12</xdr:col>
          <xdr:colOff>0</xdr:colOff>
          <xdr:row>92</xdr:row>
          <xdr:rowOff>28575</xdr:rowOff>
        </xdr:to>
        <xdr:sp macro="" textlink="">
          <xdr:nvSpPr>
            <xdr:cNvPr id="1311" name="Check Box 287" hidden="1">
              <a:extLst>
                <a:ext uri="{63B3BB69-23CF-44E3-9099-C40C66FF867C}">
                  <a14:compatExt spid="_x0000_s1311"/>
                </a:ext>
                <a:ext uri="{FF2B5EF4-FFF2-40B4-BE49-F238E27FC236}">
                  <a16:creationId xmlns:a16="http://schemas.microsoft.com/office/drawing/2014/main" id="{00000000-0008-0000-0200-00001F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91</xdr:row>
          <xdr:rowOff>19050</xdr:rowOff>
        </xdr:from>
        <xdr:to>
          <xdr:col>8</xdr:col>
          <xdr:colOff>19050</xdr:colOff>
          <xdr:row>91</xdr:row>
          <xdr:rowOff>209550</xdr:rowOff>
        </xdr:to>
        <xdr:sp macro="" textlink="">
          <xdr:nvSpPr>
            <xdr:cNvPr id="1312" name="Check Box 288" hidden="1">
              <a:extLst>
                <a:ext uri="{63B3BB69-23CF-44E3-9099-C40C66FF867C}">
                  <a14:compatExt spid="_x0000_s1312"/>
                </a:ext>
                <a:ext uri="{FF2B5EF4-FFF2-40B4-BE49-F238E27FC236}">
                  <a16:creationId xmlns:a16="http://schemas.microsoft.com/office/drawing/2014/main" id="{00000000-0008-0000-0200-00002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92</xdr:row>
          <xdr:rowOff>28575</xdr:rowOff>
        </xdr:from>
        <xdr:to>
          <xdr:col>12</xdr:col>
          <xdr:colOff>0</xdr:colOff>
          <xdr:row>92</xdr:row>
          <xdr:rowOff>28575</xdr:rowOff>
        </xdr:to>
        <xdr:sp macro="" textlink="">
          <xdr:nvSpPr>
            <xdr:cNvPr id="1313" name="Check Box 289" hidden="1">
              <a:extLst>
                <a:ext uri="{63B3BB69-23CF-44E3-9099-C40C66FF867C}">
                  <a14:compatExt spid="_x0000_s1313"/>
                </a:ext>
                <a:ext uri="{FF2B5EF4-FFF2-40B4-BE49-F238E27FC236}">
                  <a16:creationId xmlns:a16="http://schemas.microsoft.com/office/drawing/2014/main" id="{00000000-0008-0000-0200-00002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91</xdr:row>
          <xdr:rowOff>19050</xdr:rowOff>
        </xdr:from>
        <xdr:to>
          <xdr:col>8</xdr:col>
          <xdr:colOff>19050</xdr:colOff>
          <xdr:row>91</xdr:row>
          <xdr:rowOff>209550</xdr:rowOff>
        </xdr:to>
        <xdr:sp macro="" textlink="">
          <xdr:nvSpPr>
            <xdr:cNvPr id="1314" name="Check Box 290" hidden="1">
              <a:extLst>
                <a:ext uri="{63B3BB69-23CF-44E3-9099-C40C66FF867C}">
                  <a14:compatExt spid="_x0000_s1314"/>
                </a:ext>
                <a:ext uri="{FF2B5EF4-FFF2-40B4-BE49-F238E27FC236}">
                  <a16:creationId xmlns:a16="http://schemas.microsoft.com/office/drawing/2014/main" id="{00000000-0008-0000-0200-00002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93</xdr:row>
          <xdr:rowOff>28575</xdr:rowOff>
        </xdr:from>
        <xdr:to>
          <xdr:col>12</xdr:col>
          <xdr:colOff>0</xdr:colOff>
          <xdr:row>93</xdr:row>
          <xdr:rowOff>28575</xdr:rowOff>
        </xdr:to>
        <xdr:sp macro="" textlink="">
          <xdr:nvSpPr>
            <xdr:cNvPr id="1315" name="Check Box 291" hidden="1">
              <a:extLst>
                <a:ext uri="{63B3BB69-23CF-44E3-9099-C40C66FF867C}">
                  <a14:compatExt spid="_x0000_s1315"/>
                </a:ext>
                <a:ext uri="{FF2B5EF4-FFF2-40B4-BE49-F238E27FC236}">
                  <a16:creationId xmlns:a16="http://schemas.microsoft.com/office/drawing/2014/main" id="{00000000-0008-0000-0200-00002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92</xdr:row>
          <xdr:rowOff>19050</xdr:rowOff>
        </xdr:from>
        <xdr:to>
          <xdr:col>8</xdr:col>
          <xdr:colOff>19050</xdr:colOff>
          <xdr:row>92</xdr:row>
          <xdr:rowOff>209550</xdr:rowOff>
        </xdr:to>
        <xdr:sp macro="" textlink="">
          <xdr:nvSpPr>
            <xdr:cNvPr id="1316" name="Check Box 292" hidden="1">
              <a:extLst>
                <a:ext uri="{63B3BB69-23CF-44E3-9099-C40C66FF867C}">
                  <a14:compatExt spid="_x0000_s1316"/>
                </a:ext>
                <a:ext uri="{FF2B5EF4-FFF2-40B4-BE49-F238E27FC236}">
                  <a16:creationId xmlns:a16="http://schemas.microsoft.com/office/drawing/2014/main" id="{00000000-0008-0000-0200-00002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4</xdr:col>
      <xdr:colOff>28574</xdr:colOff>
      <xdr:row>88</xdr:row>
      <xdr:rowOff>47625</xdr:rowOff>
    </xdr:from>
    <xdr:ext cx="6612657" cy="752475"/>
    <xdr:pic>
      <xdr:nvPicPr>
        <xdr:cNvPr id="68" name="Picture 67">
          <a:extLst>
            <a:ext uri="{FF2B5EF4-FFF2-40B4-BE49-F238E27FC236}">
              <a16:creationId xmlns:a16="http://schemas.microsoft.com/office/drawing/2014/main" id="{00000000-0008-0000-0200-00004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37103" y="19781184"/>
          <a:ext cx="6612657" cy="752475"/>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12</xdr:col>
          <xdr:colOff>0</xdr:colOff>
          <xdr:row>93</xdr:row>
          <xdr:rowOff>28575</xdr:rowOff>
        </xdr:from>
        <xdr:to>
          <xdr:col>12</xdr:col>
          <xdr:colOff>0</xdr:colOff>
          <xdr:row>93</xdr:row>
          <xdr:rowOff>28575</xdr:rowOff>
        </xdr:to>
        <xdr:sp macro="" textlink="">
          <xdr:nvSpPr>
            <xdr:cNvPr id="1320" name="Check Box 296" hidden="1">
              <a:extLst>
                <a:ext uri="{63B3BB69-23CF-44E3-9099-C40C66FF867C}">
                  <a14:compatExt spid="_x0000_s1320"/>
                </a:ext>
                <a:ext uri="{FF2B5EF4-FFF2-40B4-BE49-F238E27FC236}">
                  <a16:creationId xmlns:a16="http://schemas.microsoft.com/office/drawing/2014/main" id="{00000000-0008-0000-0200-00002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92</xdr:row>
          <xdr:rowOff>19050</xdr:rowOff>
        </xdr:from>
        <xdr:to>
          <xdr:col>8</xdr:col>
          <xdr:colOff>19050</xdr:colOff>
          <xdr:row>92</xdr:row>
          <xdr:rowOff>209550</xdr:rowOff>
        </xdr:to>
        <xdr:sp macro="" textlink="">
          <xdr:nvSpPr>
            <xdr:cNvPr id="1322" name="Check Box 298" hidden="1">
              <a:extLst>
                <a:ext uri="{63B3BB69-23CF-44E3-9099-C40C66FF867C}">
                  <a14:compatExt spid="_x0000_s1322"/>
                </a:ext>
                <a:ext uri="{FF2B5EF4-FFF2-40B4-BE49-F238E27FC236}">
                  <a16:creationId xmlns:a16="http://schemas.microsoft.com/office/drawing/2014/main" id="{00000000-0008-0000-0200-00002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97</xdr:row>
          <xdr:rowOff>28575</xdr:rowOff>
        </xdr:from>
        <xdr:to>
          <xdr:col>12</xdr:col>
          <xdr:colOff>0</xdr:colOff>
          <xdr:row>97</xdr:row>
          <xdr:rowOff>28575</xdr:rowOff>
        </xdr:to>
        <xdr:sp macro="" textlink="">
          <xdr:nvSpPr>
            <xdr:cNvPr id="1334" name="Check Box 310" hidden="1">
              <a:extLst>
                <a:ext uri="{63B3BB69-23CF-44E3-9099-C40C66FF867C}">
                  <a14:compatExt spid="_x0000_s1334"/>
                </a:ext>
                <a:ext uri="{FF2B5EF4-FFF2-40B4-BE49-F238E27FC236}">
                  <a16:creationId xmlns:a16="http://schemas.microsoft.com/office/drawing/2014/main" id="{00000000-0008-0000-0200-00003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98</xdr:row>
          <xdr:rowOff>28575</xdr:rowOff>
        </xdr:from>
        <xdr:to>
          <xdr:col>12</xdr:col>
          <xdr:colOff>0</xdr:colOff>
          <xdr:row>98</xdr:row>
          <xdr:rowOff>28575</xdr:rowOff>
        </xdr:to>
        <xdr:sp macro="" textlink="">
          <xdr:nvSpPr>
            <xdr:cNvPr id="1335" name="Check Box 311" hidden="1">
              <a:extLst>
                <a:ext uri="{63B3BB69-23CF-44E3-9099-C40C66FF867C}">
                  <a14:compatExt spid="_x0000_s1335"/>
                </a:ext>
                <a:ext uri="{FF2B5EF4-FFF2-40B4-BE49-F238E27FC236}">
                  <a16:creationId xmlns:a16="http://schemas.microsoft.com/office/drawing/2014/main" id="{00000000-0008-0000-0200-00003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99</xdr:row>
          <xdr:rowOff>28575</xdr:rowOff>
        </xdr:from>
        <xdr:to>
          <xdr:col>12</xdr:col>
          <xdr:colOff>0</xdr:colOff>
          <xdr:row>99</xdr:row>
          <xdr:rowOff>28575</xdr:rowOff>
        </xdr:to>
        <xdr:sp macro="" textlink="">
          <xdr:nvSpPr>
            <xdr:cNvPr id="1336" name="Check Box 312" hidden="1">
              <a:extLst>
                <a:ext uri="{63B3BB69-23CF-44E3-9099-C40C66FF867C}">
                  <a14:compatExt spid="_x0000_s1336"/>
                </a:ext>
                <a:ext uri="{FF2B5EF4-FFF2-40B4-BE49-F238E27FC236}">
                  <a16:creationId xmlns:a16="http://schemas.microsoft.com/office/drawing/2014/main" id="{00000000-0008-0000-0200-00003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100</xdr:row>
          <xdr:rowOff>28575</xdr:rowOff>
        </xdr:from>
        <xdr:to>
          <xdr:col>12</xdr:col>
          <xdr:colOff>0</xdr:colOff>
          <xdr:row>100</xdr:row>
          <xdr:rowOff>28575</xdr:rowOff>
        </xdr:to>
        <xdr:sp macro="" textlink="">
          <xdr:nvSpPr>
            <xdr:cNvPr id="1337" name="Check Box 313" hidden="1">
              <a:extLst>
                <a:ext uri="{63B3BB69-23CF-44E3-9099-C40C66FF867C}">
                  <a14:compatExt spid="_x0000_s1337"/>
                </a:ext>
                <a:ext uri="{FF2B5EF4-FFF2-40B4-BE49-F238E27FC236}">
                  <a16:creationId xmlns:a16="http://schemas.microsoft.com/office/drawing/2014/main" id="{00000000-0008-0000-0200-00003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101</xdr:row>
          <xdr:rowOff>28575</xdr:rowOff>
        </xdr:from>
        <xdr:to>
          <xdr:col>12</xdr:col>
          <xdr:colOff>0</xdr:colOff>
          <xdr:row>101</xdr:row>
          <xdr:rowOff>28575</xdr:rowOff>
        </xdr:to>
        <xdr:sp macro="" textlink="">
          <xdr:nvSpPr>
            <xdr:cNvPr id="1338" name="Check Box 314" hidden="1">
              <a:extLst>
                <a:ext uri="{63B3BB69-23CF-44E3-9099-C40C66FF867C}">
                  <a14:compatExt spid="_x0000_s1338"/>
                </a:ext>
                <a:ext uri="{FF2B5EF4-FFF2-40B4-BE49-F238E27FC236}">
                  <a16:creationId xmlns:a16="http://schemas.microsoft.com/office/drawing/2014/main" id="{00000000-0008-0000-0200-00003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102</xdr:row>
          <xdr:rowOff>28575</xdr:rowOff>
        </xdr:from>
        <xdr:to>
          <xdr:col>12</xdr:col>
          <xdr:colOff>0</xdr:colOff>
          <xdr:row>102</xdr:row>
          <xdr:rowOff>28575</xdr:rowOff>
        </xdr:to>
        <xdr:sp macro="" textlink="">
          <xdr:nvSpPr>
            <xdr:cNvPr id="1339" name="Check Box 315" hidden="1">
              <a:extLst>
                <a:ext uri="{63B3BB69-23CF-44E3-9099-C40C66FF867C}">
                  <a14:compatExt spid="_x0000_s1339"/>
                </a:ext>
                <a:ext uri="{FF2B5EF4-FFF2-40B4-BE49-F238E27FC236}">
                  <a16:creationId xmlns:a16="http://schemas.microsoft.com/office/drawing/2014/main" id="{00000000-0008-0000-0200-00003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103</xdr:row>
          <xdr:rowOff>28575</xdr:rowOff>
        </xdr:from>
        <xdr:to>
          <xdr:col>12</xdr:col>
          <xdr:colOff>0</xdr:colOff>
          <xdr:row>103</xdr:row>
          <xdr:rowOff>28575</xdr:rowOff>
        </xdr:to>
        <xdr:sp macro="" textlink="">
          <xdr:nvSpPr>
            <xdr:cNvPr id="1340" name="Check Box 316" hidden="1">
              <a:extLst>
                <a:ext uri="{63B3BB69-23CF-44E3-9099-C40C66FF867C}">
                  <a14:compatExt spid="_x0000_s1340"/>
                </a:ext>
                <a:ext uri="{FF2B5EF4-FFF2-40B4-BE49-F238E27FC236}">
                  <a16:creationId xmlns:a16="http://schemas.microsoft.com/office/drawing/2014/main" id="{00000000-0008-0000-0200-00003C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104</xdr:row>
          <xdr:rowOff>28575</xdr:rowOff>
        </xdr:from>
        <xdr:to>
          <xdr:col>12</xdr:col>
          <xdr:colOff>0</xdr:colOff>
          <xdr:row>104</xdr:row>
          <xdr:rowOff>28575</xdr:rowOff>
        </xdr:to>
        <xdr:sp macro="" textlink="">
          <xdr:nvSpPr>
            <xdr:cNvPr id="1341" name="Check Box 317" hidden="1">
              <a:extLst>
                <a:ext uri="{63B3BB69-23CF-44E3-9099-C40C66FF867C}">
                  <a14:compatExt spid="_x0000_s1341"/>
                </a:ext>
                <a:ext uri="{FF2B5EF4-FFF2-40B4-BE49-F238E27FC236}">
                  <a16:creationId xmlns:a16="http://schemas.microsoft.com/office/drawing/2014/main" id="{00000000-0008-0000-0200-00003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105</xdr:row>
          <xdr:rowOff>28575</xdr:rowOff>
        </xdr:from>
        <xdr:to>
          <xdr:col>12</xdr:col>
          <xdr:colOff>0</xdr:colOff>
          <xdr:row>105</xdr:row>
          <xdr:rowOff>28575</xdr:rowOff>
        </xdr:to>
        <xdr:sp macro="" textlink="">
          <xdr:nvSpPr>
            <xdr:cNvPr id="1342" name="Check Box 318" hidden="1">
              <a:extLst>
                <a:ext uri="{63B3BB69-23CF-44E3-9099-C40C66FF867C}">
                  <a14:compatExt spid="_x0000_s1342"/>
                </a:ext>
                <a:ext uri="{FF2B5EF4-FFF2-40B4-BE49-F238E27FC236}">
                  <a16:creationId xmlns:a16="http://schemas.microsoft.com/office/drawing/2014/main" id="{00000000-0008-0000-0200-00003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106</xdr:row>
          <xdr:rowOff>28575</xdr:rowOff>
        </xdr:from>
        <xdr:to>
          <xdr:col>12</xdr:col>
          <xdr:colOff>0</xdr:colOff>
          <xdr:row>106</xdr:row>
          <xdr:rowOff>28575</xdr:rowOff>
        </xdr:to>
        <xdr:sp macro="" textlink="">
          <xdr:nvSpPr>
            <xdr:cNvPr id="1343" name="Check Box 319" hidden="1">
              <a:extLst>
                <a:ext uri="{63B3BB69-23CF-44E3-9099-C40C66FF867C}">
                  <a14:compatExt spid="_x0000_s1343"/>
                </a:ext>
                <a:ext uri="{FF2B5EF4-FFF2-40B4-BE49-F238E27FC236}">
                  <a16:creationId xmlns:a16="http://schemas.microsoft.com/office/drawing/2014/main" id="{00000000-0008-0000-0200-00003F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107</xdr:row>
          <xdr:rowOff>28575</xdr:rowOff>
        </xdr:from>
        <xdr:to>
          <xdr:col>12</xdr:col>
          <xdr:colOff>0</xdr:colOff>
          <xdr:row>107</xdr:row>
          <xdr:rowOff>28575</xdr:rowOff>
        </xdr:to>
        <xdr:sp macro="" textlink="">
          <xdr:nvSpPr>
            <xdr:cNvPr id="1344" name="Check Box 320" hidden="1">
              <a:extLst>
                <a:ext uri="{63B3BB69-23CF-44E3-9099-C40C66FF867C}">
                  <a14:compatExt spid="_x0000_s1344"/>
                </a:ext>
                <a:ext uri="{FF2B5EF4-FFF2-40B4-BE49-F238E27FC236}">
                  <a16:creationId xmlns:a16="http://schemas.microsoft.com/office/drawing/2014/main" id="{00000000-0008-0000-0200-00004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108</xdr:row>
          <xdr:rowOff>28575</xdr:rowOff>
        </xdr:from>
        <xdr:to>
          <xdr:col>12</xdr:col>
          <xdr:colOff>0</xdr:colOff>
          <xdr:row>108</xdr:row>
          <xdr:rowOff>28575</xdr:rowOff>
        </xdr:to>
        <xdr:sp macro="" textlink="">
          <xdr:nvSpPr>
            <xdr:cNvPr id="1345" name="Check Box 321" hidden="1">
              <a:extLst>
                <a:ext uri="{63B3BB69-23CF-44E3-9099-C40C66FF867C}">
                  <a14:compatExt spid="_x0000_s1345"/>
                </a:ext>
                <a:ext uri="{FF2B5EF4-FFF2-40B4-BE49-F238E27FC236}">
                  <a16:creationId xmlns:a16="http://schemas.microsoft.com/office/drawing/2014/main" id="{00000000-0008-0000-0200-00004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109</xdr:row>
          <xdr:rowOff>28575</xdr:rowOff>
        </xdr:from>
        <xdr:to>
          <xdr:col>12</xdr:col>
          <xdr:colOff>0</xdr:colOff>
          <xdr:row>109</xdr:row>
          <xdr:rowOff>28575</xdr:rowOff>
        </xdr:to>
        <xdr:sp macro="" textlink="">
          <xdr:nvSpPr>
            <xdr:cNvPr id="1346" name="Check Box 322" hidden="1">
              <a:extLst>
                <a:ext uri="{63B3BB69-23CF-44E3-9099-C40C66FF867C}">
                  <a14:compatExt spid="_x0000_s1346"/>
                </a:ext>
                <a:ext uri="{FF2B5EF4-FFF2-40B4-BE49-F238E27FC236}">
                  <a16:creationId xmlns:a16="http://schemas.microsoft.com/office/drawing/2014/main" id="{00000000-0008-0000-0200-00004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110</xdr:row>
          <xdr:rowOff>28575</xdr:rowOff>
        </xdr:from>
        <xdr:to>
          <xdr:col>12</xdr:col>
          <xdr:colOff>0</xdr:colOff>
          <xdr:row>110</xdr:row>
          <xdr:rowOff>28575</xdr:rowOff>
        </xdr:to>
        <xdr:sp macro="" textlink="">
          <xdr:nvSpPr>
            <xdr:cNvPr id="1347" name="Check Box 323" hidden="1">
              <a:extLst>
                <a:ext uri="{63B3BB69-23CF-44E3-9099-C40C66FF867C}">
                  <a14:compatExt spid="_x0000_s1347"/>
                </a:ext>
                <a:ext uri="{FF2B5EF4-FFF2-40B4-BE49-F238E27FC236}">
                  <a16:creationId xmlns:a16="http://schemas.microsoft.com/office/drawing/2014/main" id="{00000000-0008-0000-0200-00004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111</xdr:row>
          <xdr:rowOff>28575</xdr:rowOff>
        </xdr:from>
        <xdr:to>
          <xdr:col>12</xdr:col>
          <xdr:colOff>0</xdr:colOff>
          <xdr:row>111</xdr:row>
          <xdr:rowOff>28575</xdr:rowOff>
        </xdr:to>
        <xdr:sp macro="" textlink="">
          <xdr:nvSpPr>
            <xdr:cNvPr id="1348" name="Check Box 324" hidden="1">
              <a:extLst>
                <a:ext uri="{63B3BB69-23CF-44E3-9099-C40C66FF867C}">
                  <a14:compatExt spid="_x0000_s1348"/>
                </a:ext>
                <a:ext uri="{FF2B5EF4-FFF2-40B4-BE49-F238E27FC236}">
                  <a16:creationId xmlns:a16="http://schemas.microsoft.com/office/drawing/2014/main" id="{00000000-0008-0000-0200-00004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112</xdr:row>
          <xdr:rowOff>28575</xdr:rowOff>
        </xdr:from>
        <xdr:to>
          <xdr:col>12</xdr:col>
          <xdr:colOff>0</xdr:colOff>
          <xdr:row>112</xdr:row>
          <xdr:rowOff>28575</xdr:rowOff>
        </xdr:to>
        <xdr:sp macro="" textlink="">
          <xdr:nvSpPr>
            <xdr:cNvPr id="1349" name="Check Box 325" hidden="1">
              <a:extLst>
                <a:ext uri="{63B3BB69-23CF-44E3-9099-C40C66FF867C}">
                  <a14:compatExt spid="_x0000_s1349"/>
                </a:ext>
                <a:ext uri="{FF2B5EF4-FFF2-40B4-BE49-F238E27FC236}">
                  <a16:creationId xmlns:a16="http://schemas.microsoft.com/office/drawing/2014/main" id="{00000000-0008-0000-0200-00004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113</xdr:row>
          <xdr:rowOff>28575</xdr:rowOff>
        </xdr:from>
        <xdr:to>
          <xdr:col>12</xdr:col>
          <xdr:colOff>0</xdr:colOff>
          <xdr:row>113</xdr:row>
          <xdr:rowOff>28575</xdr:rowOff>
        </xdr:to>
        <xdr:sp macro="" textlink="">
          <xdr:nvSpPr>
            <xdr:cNvPr id="1350" name="Check Box 326" hidden="1">
              <a:extLst>
                <a:ext uri="{63B3BB69-23CF-44E3-9099-C40C66FF867C}">
                  <a14:compatExt spid="_x0000_s1350"/>
                </a:ext>
                <a:ext uri="{FF2B5EF4-FFF2-40B4-BE49-F238E27FC236}">
                  <a16:creationId xmlns:a16="http://schemas.microsoft.com/office/drawing/2014/main" id="{00000000-0008-0000-0200-00004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114</xdr:row>
          <xdr:rowOff>28575</xdr:rowOff>
        </xdr:from>
        <xdr:to>
          <xdr:col>12</xdr:col>
          <xdr:colOff>0</xdr:colOff>
          <xdr:row>114</xdr:row>
          <xdr:rowOff>28575</xdr:rowOff>
        </xdr:to>
        <xdr:sp macro="" textlink="">
          <xdr:nvSpPr>
            <xdr:cNvPr id="1351" name="Check Box 327" hidden="1">
              <a:extLst>
                <a:ext uri="{63B3BB69-23CF-44E3-9099-C40C66FF867C}">
                  <a14:compatExt spid="_x0000_s1351"/>
                </a:ext>
                <a:ext uri="{FF2B5EF4-FFF2-40B4-BE49-F238E27FC236}">
                  <a16:creationId xmlns:a16="http://schemas.microsoft.com/office/drawing/2014/main" id="{00000000-0008-0000-0200-00004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115</xdr:row>
          <xdr:rowOff>28575</xdr:rowOff>
        </xdr:from>
        <xdr:to>
          <xdr:col>12</xdr:col>
          <xdr:colOff>0</xdr:colOff>
          <xdr:row>115</xdr:row>
          <xdr:rowOff>28575</xdr:rowOff>
        </xdr:to>
        <xdr:sp macro="" textlink="">
          <xdr:nvSpPr>
            <xdr:cNvPr id="1352" name="Check Box 328" hidden="1">
              <a:extLst>
                <a:ext uri="{63B3BB69-23CF-44E3-9099-C40C66FF867C}">
                  <a14:compatExt spid="_x0000_s1352"/>
                </a:ext>
                <a:ext uri="{FF2B5EF4-FFF2-40B4-BE49-F238E27FC236}">
                  <a16:creationId xmlns:a16="http://schemas.microsoft.com/office/drawing/2014/main" id="{00000000-0008-0000-0200-00004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122</xdr:row>
          <xdr:rowOff>28575</xdr:rowOff>
        </xdr:from>
        <xdr:to>
          <xdr:col>12</xdr:col>
          <xdr:colOff>0</xdr:colOff>
          <xdr:row>122</xdr:row>
          <xdr:rowOff>28575</xdr:rowOff>
        </xdr:to>
        <xdr:sp macro="" textlink="">
          <xdr:nvSpPr>
            <xdr:cNvPr id="1454" name="Check Box 430" hidden="1">
              <a:extLst>
                <a:ext uri="{63B3BB69-23CF-44E3-9099-C40C66FF867C}">
                  <a14:compatExt spid="_x0000_s1454"/>
                </a:ext>
                <a:ext uri="{FF2B5EF4-FFF2-40B4-BE49-F238E27FC236}">
                  <a16:creationId xmlns:a16="http://schemas.microsoft.com/office/drawing/2014/main" id="{00000000-0008-0000-0200-0000A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121</xdr:row>
          <xdr:rowOff>19050</xdr:rowOff>
        </xdr:from>
        <xdr:to>
          <xdr:col>8</xdr:col>
          <xdr:colOff>19050</xdr:colOff>
          <xdr:row>121</xdr:row>
          <xdr:rowOff>209550</xdr:rowOff>
        </xdr:to>
        <xdr:sp macro="" textlink="">
          <xdr:nvSpPr>
            <xdr:cNvPr id="1455" name="Check Box 431" hidden="1">
              <a:extLst>
                <a:ext uri="{63B3BB69-23CF-44E3-9099-C40C66FF867C}">
                  <a14:compatExt spid="_x0000_s1455"/>
                </a:ext>
                <a:ext uri="{FF2B5EF4-FFF2-40B4-BE49-F238E27FC236}">
                  <a16:creationId xmlns:a16="http://schemas.microsoft.com/office/drawing/2014/main" id="{00000000-0008-0000-0200-0000AF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152</xdr:row>
          <xdr:rowOff>28575</xdr:rowOff>
        </xdr:from>
        <xdr:to>
          <xdr:col>12</xdr:col>
          <xdr:colOff>0</xdr:colOff>
          <xdr:row>152</xdr:row>
          <xdr:rowOff>28575</xdr:rowOff>
        </xdr:to>
        <xdr:sp macro="" textlink="">
          <xdr:nvSpPr>
            <xdr:cNvPr id="1456" name="Check Box 432" hidden="1">
              <a:extLst>
                <a:ext uri="{63B3BB69-23CF-44E3-9099-C40C66FF867C}">
                  <a14:compatExt spid="_x0000_s1456"/>
                </a:ext>
                <a:ext uri="{FF2B5EF4-FFF2-40B4-BE49-F238E27FC236}">
                  <a16:creationId xmlns:a16="http://schemas.microsoft.com/office/drawing/2014/main" id="{00000000-0008-0000-0200-0000B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151</xdr:row>
          <xdr:rowOff>19050</xdr:rowOff>
        </xdr:from>
        <xdr:to>
          <xdr:col>8</xdr:col>
          <xdr:colOff>19050</xdr:colOff>
          <xdr:row>151</xdr:row>
          <xdr:rowOff>209550</xdr:rowOff>
        </xdr:to>
        <xdr:sp macro="" textlink="">
          <xdr:nvSpPr>
            <xdr:cNvPr id="1457" name="Check Box 433" hidden="1">
              <a:extLst>
                <a:ext uri="{63B3BB69-23CF-44E3-9099-C40C66FF867C}">
                  <a14:compatExt spid="_x0000_s1457"/>
                </a:ext>
                <a:ext uri="{FF2B5EF4-FFF2-40B4-BE49-F238E27FC236}">
                  <a16:creationId xmlns:a16="http://schemas.microsoft.com/office/drawing/2014/main" id="{00000000-0008-0000-0200-0000B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183</xdr:row>
          <xdr:rowOff>28575</xdr:rowOff>
        </xdr:from>
        <xdr:to>
          <xdr:col>12</xdr:col>
          <xdr:colOff>0</xdr:colOff>
          <xdr:row>183</xdr:row>
          <xdr:rowOff>28575</xdr:rowOff>
        </xdr:to>
        <xdr:sp macro="" textlink="">
          <xdr:nvSpPr>
            <xdr:cNvPr id="1458" name="Check Box 434" hidden="1">
              <a:extLst>
                <a:ext uri="{63B3BB69-23CF-44E3-9099-C40C66FF867C}">
                  <a14:compatExt spid="_x0000_s1458"/>
                </a:ext>
                <a:ext uri="{FF2B5EF4-FFF2-40B4-BE49-F238E27FC236}">
                  <a16:creationId xmlns:a16="http://schemas.microsoft.com/office/drawing/2014/main" id="{00000000-0008-0000-0200-0000B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182</xdr:row>
          <xdr:rowOff>19050</xdr:rowOff>
        </xdr:from>
        <xdr:to>
          <xdr:col>8</xdr:col>
          <xdr:colOff>19050</xdr:colOff>
          <xdr:row>182</xdr:row>
          <xdr:rowOff>209550</xdr:rowOff>
        </xdr:to>
        <xdr:sp macro="" textlink="">
          <xdr:nvSpPr>
            <xdr:cNvPr id="1459" name="Check Box 435" hidden="1">
              <a:extLst>
                <a:ext uri="{63B3BB69-23CF-44E3-9099-C40C66FF867C}">
                  <a14:compatExt spid="_x0000_s1459"/>
                </a:ext>
                <a:ext uri="{FF2B5EF4-FFF2-40B4-BE49-F238E27FC236}">
                  <a16:creationId xmlns:a16="http://schemas.microsoft.com/office/drawing/2014/main" id="{00000000-0008-0000-0200-0000B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150</xdr:row>
          <xdr:rowOff>28575</xdr:rowOff>
        </xdr:from>
        <xdr:to>
          <xdr:col>12</xdr:col>
          <xdr:colOff>0</xdr:colOff>
          <xdr:row>150</xdr:row>
          <xdr:rowOff>28575</xdr:rowOff>
        </xdr:to>
        <xdr:sp macro="" textlink="">
          <xdr:nvSpPr>
            <xdr:cNvPr id="1460" name="Check Box 436" hidden="1">
              <a:extLst>
                <a:ext uri="{63B3BB69-23CF-44E3-9099-C40C66FF867C}">
                  <a14:compatExt spid="_x0000_s1460"/>
                </a:ext>
                <a:ext uri="{FF2B5EF4-FFF2-40B4-BE49-F238E27FC236}">
                  <a16:creationId xmlns:a16="http://schemas.microsoft.com/office/drawing/2014/main" id="{00000000-0008-0000-0200-0000B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149</xdr:row>
          <xdr:rowOff>19050</xdr:rowOff>
        </xdr:from>
        <xdr:to>
          <xdr:col>8</xdr:col>
          <xdr:colOff>19050</xdr:colOff>
          <xdr:row>149</xdr:row>
          <xdr:rowOff>209550</xdr:rowOff>
        </xdr:to>
        <xdr:sp macro="" textlink="">
          <xdr:nvSpPr>
            <xdr:cNvPr id="1461" name="Check Box 437" hidden="1">
              <a:extLst>
                <a:ext uri="{63B3BB69-23CF-44E3-9099-C40C66FF867C}">
                  <a14:compatExt spid="_x0000_s1461"/>
                </a:ext>
                <a:ext uri="{FF2B5EF4-FFF2-40B4-BE49-F238E27FC236}">
                  <a16:creationId xmlns:a16="http://schemas.microsoft.com/office/drawing/2014/main" id="{00000000-0008-0000-0200-0000B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181</xdr:row>
          <xdr:rowOff>28575</xdr:rowOff>
        </xdr:from>
        <xdr:to>
          <xdr:col>12</xdr:col>
          <xdr:colOff>0</xdr:colOff>
          <xdr:row>181</xdr:row>
          <xdr:rowOff>28575</xdr:rowOff>
        </xdr:to>
        <xdr:sp macro="" textlink="">
          <xdr:nvSpPr>
            <xdr:cNvPr id="1462" name="Check Box 438" hidden="1">
              <a:extLst>
                <a:ext uri="{63B3BB69-23CF-44E3-9099-C40C66FF867C}">
                  <a14:compatExt spid="_x0000_s1462"/>
                </a:ext>
                <a:ext uri="{FF2B5EF4-FFF2-40B4-BE49-F238E27FC236}">
                  <a16:creationId xmlns:a16="http://schemas.microsoft.com/office/drawing/2014/main" id="{00000000-0008-0000-0200-0000B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180</xdr:row>
          <xdr:rowOff>19050</xdr:rowOff>
        </xdr:from>
        <xdr:to>
          <xdr:col>8</xdr:col>
          <xdr:colOff>19050</xdr:colOff>
          <xdr:row>180</xdr:row>
          <xdr:rowOff>209550</xdr:rowOff>
        </xdr:to>
        <xdr:sp macro="" textlink="">
          <xdr:nvSpPr>
            <xdr:cNvPr id="1463" name="Check Box 439" hidden="1">
              <a:extLst>
                <a:ext uri="{63B3BB69-23CF-44E3-9099-C40C66FF867C}">
                  <a14:compatExt spid="_x0000_s1463"/>
                </a:ext>
                <a:ext uri="{FF2B5EF4-FFF2-40B4-BE49-F238E27FC236}">
                  <a16:creationId xmlns:a16="http://schemas.microsoft.com/office/drawing/2014/main" id="{00000000-0008-0000-0200-0000B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179</xdr:row>
          <xdr:rowOff>28575</xdr:rowOff>
        </xdr:from>
        <xdr:to>
          <xdr:col>12</xdr:col>
          <xdr:colOff>0</xdr:colOff>
          <xdr:row>179</xdr:row>
          <xdr:rowOff>28575</xdr:rowOff>
        </xdr:to>
        <xdr:sp macro="" textlink="">
          <xdr:nvSpPr>
            <xdr:cNvPr id="1464" name="Check Box 440" hidden="1">
              <a:extLst>
                <a:ext uri="{63B3BB69-23CF-44E3-9099-C40C66FF867C}">
                  <a14:compatExt spid="_x0000_s1464"/>
                </a:ext>
                <a:ext uri="{FF2B5EF4-FFF2-40B4-BE49-F238E27FC236}">
                  <a16:creationId xmlns:a16="http://schemas.microsoft.com/office/drawing/2014/main" id="{00000000-0008-0000-0200-0000B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178</xdr:row>
          <xdr:rowOff>19050</xdr:rowOff>
        </xdr:from>
        <xdr:to>
          <xdr:col>8</xdr:col>
          <xdr:colOff>19050</xdr:colOff>
          <xdr:row>178</xdr:row>
          <xdr:rowOff>209550</xdr:rowOff>
        </xdr:to>
        <xdr:sp macro="" textlink="">
          <xdr:nvSpPr>
            <xdr:cNvPr id="1465" name="Check Box 441" hidden="1">
              <a:extLst>
                <a:ext uri="{63B3BB69-23CF-44E3-9099-C40C66FF867C}">
                  <a14:compatExt spid="_x0000_s1465"/>
                </a:ext>
                <a:ext uri="{FF2B5EF4-FFF2-40B4-BE49-F238E27FC236}">
                  <a16:creationId xmlns:a16="http://schemas.microsoft.com/office/drawing/2014/main" id="{00000000-0008-0000-0200-0000B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150</xdr:row>
          <xdr:rowOff>28575</xdr:rowOff>
        </xdr:from>
        <xdr:to>
          <xdr:col>12</xdr:col>
          <xdr:colOff>0</xdr:colOff>
          <xdr:row>150</xdr:row>
          <xdr:rowOff>28575</xdr:rowOff>
        </xdr:to>
        <xdr:sp macro="" textlink="">
          <xdr:nvSpPr>
            <xdr:cNvPr id="1466" name="Check Box 442" hidden="1">
              <a:extLst>
                <a:ext uri="{63B3BB69-23CF-44E3-9099-C40C66FF867C}">
                  <a14:compatExt spid="_x0000_s1466"/>
                </a:ext>
                <a:ext uri="{FF2B5EF4-FFF2-40B4-BE49-F238E27FC236}">
                  <a16:creationId xmlns:a16="http://schemas.microsoft.com/office/drawing/2014/main" id="{00000000-0008-0000-0200-0000B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149</xdr:row>
          <xdr:rowOff>19050</xdr:rowOff>
        </xdr:from>
        <xdr:to>
          <xdr:col>8</xdr:col>
          <xdr:colOff>19050</xdr:colOff>
          <xdr:row>149</xdr:row>
          <xdr:rowOff>209550</xdr:rowOff>
        </xdr:to>
        <xdr:sp macro="" textlink="">
          <xdr:nvSpPr>
            <xdr:cNvPr id="1467" name="Check Box 443" hidden="1">
              <a:extLst>
                <a:ext uri="{63B3BB69-23CF-44E3-9099-C40C66FF867C}">
                  <a14:compatExt spid="_x0000_s1467"/>
                </a:ext>
                <a:ext uri="{FF2B5EF4-FFF2-40B4-BE49-F238E27FC236}">
                  <a16:creationId xmlns:a16="http://schemas.microsoft.com/office/drawing/2014/main" id="{00000000-0008-0000-0200-0000B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4</xdr:col>
      <xdr:colOff>28574</xdr:colOff>
      <xdr:row>117</xdr:row>
      <xdr:rowOff>47625</xdr:rowOff>
    </xdr:from>
    <xdr:ext cx="6612657" cy="752475"/>
    <xdr:pic>
      <xdr:nvPicPr>
        <xdr:cNvPr id="191" name="Picture 190">
          <a:extLst>
            <a:ext uri="{FF2B5EF4-FFF2-40B4-BE49-F238E27FC236}">
              <a16:creationId xmlns:a16="http://schemas.microsoft.com/office/drawing/2014/main" id="{00000000-0008-0000-0200-0000BF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35503" y="26459089"/>
          <a:ext cx="6612657" cy="752475"/>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12</xdr:col>
          <xdr:colOff>0</xdr:colOff>
          <xdr:row>122</xdr:row>
          <xdr:rowOff>28575</xdr:rowOff>
        </xdr:from>
        <xdr:to>
          <xdr:col>12</xdr:col>
          <xdr:colOff>0</xdr:colOff>
          <xdr:row>122</xdr:row>
          <xdr:rowOff>28575</xdr:rowOff>
        </xdr:to>
        <xdr:sp macro="" textlink="">
          <xdr:nvSpPr>
            <xdr:cNvPr id="1468" name="Check Box 444" hidden="1">
              <a:extLst>
                <a:ext uri="{63B3BB69-23CF-44E3-9099-C40C66FF867C}">
                  <a14:compatExt spid="_x0000_s1468"/>
                </a:ext>
                <a:ext uri="{FF2B5EF4-FFF2-40B4-BE49-F238E27FC236}">
                  <a16:creationId xmlns:a16="http://schemas.microsoft.com/office/drawing/2014/main" id="{00000000-0008-0000-0200-0000BC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121</xdr:row>
          <xdr:rowOff>19050</xdr:rowOff>
        </xdr:from>
        <xdr:to>
          <xdr:col>8</xdr:col>
          <xdr:colOff>19050</xdr:colOff>
          <xdr:row>121</xdr:row>
          <xdr:rowOff>209550</xdr:rowOff>
        </xdr:to>
        <xdr:sp macro="" textlink="">
          <xdr:nvSpPr>
            <xdr:cNvPr id="1469" name="Check Box 445" hidden="1">
              <a:extLst>
                <a:ext uri="{63B3BB69-23CF-44E3-9099-C40C66FF867C}">
                  <a14:compatExt spid="_x0000_s1469"/>
                </a:ext>
                <a:ext uri="{FF2B5EF4-FFF2-40B4-BE49-F238E27FC236}">
                  <a16:creationId xmlns:a16="http://schemas.microsoft.com/office/drawing/2014/main" id="{00000000-0008-0000-0200-0000B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151</xdr:row>
          <xdr:rowOff>28575</xdr:rowOff>
        </xdr:from>
        <xdr:to>
          <xdr:col>12</xdr:col>
          <xdr:colOff>0</xdr:colOff>
          <xdr:row>151</xdr:row>
          <xdr:rowOff>28575</xdr:rowOff>
        </xdr:to>
        <xdr:sp macro="" textlink="">
          <xdr:nvSpPr>
            <xdr:cNvPr id="1470" name="Check Box 446" hidden="1">
              <a:extLst>
                <a:ext uri="{63B3BB69-23CF-44E3-9099-C40C66FF867C}">
                  <a14:compatExt spid="_x0000_s1470"/>
                </a:ext>
                <a:ext uri="{FF2B5EF4-FFF2-40B4-BE49-F238E27FC236}">
                  <a16:creationId xmlns:a16="http://schemas.microsoft.com/office/drawing/2014/main" id="{00000000-0008-0000-0200-0000B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150</xdr:row>
          <xdr:rowOff>19050</xdr:rowOff>
        </xdr:from>
        <xdr:to>
          <xdr:col>8</xdr:col>
          <xdr:colOff>19050</xdr:colOff>
          <xdr:row>150</xdr:row>
          <xdr:rowOff>209550</xdr:rowOff>
        </xdr:to>
        <xdr:sp macro="" textlink="">
          <xdr:nvSpPr>
            <xdr:cNvPr id="1471" name="Check Box 447" hidden="1">
              <a:extLst>
                <a:ext uri="{63B3BB69-23CF-44E3-9099-C40C66FF867C}">
                  <a14:compatExt spid="_x0000_s1471"/>
                </a:ext>
                <a:ext uri="{FF2B5EF4-FFF2-40B4-BE49-F238E27FC236}">
                  <a16:creationId xmlns:a16="http://schemas.microsoft.com/office/drawing/2014/main" id="{00000000-0008-0000-0200-0000BF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4</xdr:col>
      <xdr:colOff>28574</xdr:colOff>
      <xdr:row>146</xdr:row>
      <xdr:rowOff>47625</xdr:rowOff>
    </xdr:from>
    <xdr:ext cx="6612657" cy="752475"/>
    <xdr:pic>
      <xdr:nvPicPr>
        <xdr:cNvPr id="196" name="Picture 195">
          <a:extLst>
            <a:ext uri="{FF2B5EF4-FFF2-40B4-BE49-F238E27FC236}">
              <a16:creationId xmlns:a16="http://schemas.microsoft.com/office/drawing/2014/main" id="{00000000-0008-0000-0200-0000C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35503" y="33058554"/>
          <a:ext cx="6612657" cy="752475"/>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12</xdr:col>
          <xdr:colOff>0</xdr:colOff>
          <xdr:row>151</xdr:row>
          <xdr:rowOff>28575</xdr:rowOff>
        </xdr:from>
        <xdr:to>
          <xdr:col>12</xdr:col>
          <xdr:colOff>0</xdr:colOff>
          <xdr:row>151</xdr:row>
          <xdr:rowOff>28575</xdr:rowOff>
        </xdr:to>
        <xdr:sp macro="" textlink="">
          <xdr:nvSpPr>
            <xdr:cNvPr id="1472" name="Check Box 448" hidden="1">
              <a:extLst>
                <a:ext uri="{63B3BB69-23CF-44E3-9099-C40C66FF867C}">
                  <a14:compatExt spid="_x0000_s1472"/>
                </a:ext>
                <a:ext uri="{FF2B5EF4-FFF2-40B4-BE49-F238E27FC236}">
                  <a16:creationId xmlns:a16="http://schemas.microsoft.com/office/drawing/2014/main" id="{00000000-0008-0000-0200-0000C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150</xdr:row>
          <xdr:rowOff>19050</xdr:rowOff>
        </xdr:from>
        <xdr:to>
          <xdr:col>8</xdr:col>
          <xdr:colOff>19050</xdr:colOff>
          <xdr:row>150</xdr:row>
          <xdr:rowOff>209550</xdr:rowOff>
        </xdr:to>
        <xdr:sp macro="" textlink="">
          <xdr:nvSpPr>
            <xdr:cNvPr id="1473" name="Check Box 449" hidden="1">
              <a:extLst>
                <a:ext uri="{63B3BB69-23CF-44E3-9099-C40C66FF867C}">
                  <a14:compatExt spid="_x0000_s1473"/>
                </a:ext>
                <a:ext uri="{FF2B5EF4-FFF2-40B4-BE49-F238E27FC236}">
                  <a16:creationId xmlns:a16="http://schemas.microsoft.com/office/drawing/2014/main" id="{00000000-0008-0000-0200-0000C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181</xdr:row>
          <xdr:rowOff>28575</xdr:rowOff>
        </xdr:from>
        <xdr:to>
          <xdr:col>12</xdr:col>
          <xdr:colOff>0</xdr:colOff>
          <xdr:row>181</xdr:row>
          <xdr:rowOff>28575</xdr:rowOff>
        </xdr:to>
        <xdr:sp macro="" textlink="">
          <xdr:nvSpPr>
            <xdr:cNvPr id="1474" name="Check Box 450" hidden="1">
              <a:extLst>
                <a:ext uri="{63B3BB69-23CF-44E3-9099-C40C66FF867C}">
                  <a14:compatExt spid="_x0000_s1474"/>
                </a:ext>
                <a:ext uri="{FF2B5EF4-FFF2-40B4-BE49-F238E27FC236}">
                  <a16:creationId xmlns:a16="http://schemas.microsoft.com/office/drawing/2014/main" id="{00000000-0008-0000-0200-0000C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180</xdr:row>
          <xdr:rowOff>19050</xdr:rowOff>
        </xdr:from>
        <xdr:to>
          <xdr:col>8</xdr:col>
          <xdr:colOff>19050</xdr:colOff>
          <xdr:row>180</xdr:row>
          <xdr:rowOff>209550</xdr:rowOff>
        </xdr:to>
        <xdr:sp macro="" textlink="">
          <xdr:nvSpPr>
            <xdr:cNvPr id="1475" name="Check Box 451" hidden="1">
              <a:extLst>
                <a:ext uri="{63B3BB69-23CF-44E3-9099-C40C66FF867C}">
                  <a14:compatExt spid="_x0000_s1475"/>
                </a:ext>
                <a:ext uri="{FF2B5EF4-FFF2-40B4-BE49-F238E27FC236}">
                  <a16:creationId xmlns:a16="http://schemas.microsoft.com/office/drawing/2014/main" id="{00000000-0008-0000-0200-0000C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179</xdr:row>
          <xdr:rowOff>28575</xdr:rowOff>
        </xdr:from>
        <xdr:to>
          <xdr:col>12</xdr:col>
          <xdr:colOff>0</xdr:colOff>
          <xdr:row>179</xdr:row>
          <xdr:rowOff>28575</xdr:rowOff>
        </xdr:to>
        <xdr:sp macro="" textlink="">
          <xdr:nvSpPr>
            <xdr:cNvPr id="1476" name="Check Box 452" hidden="1">
              <a:extLst>
                <a:ext uri="{63B3BB69-23CF-44E3-9099-C40C66FF867C}">
                  <a14:compatExt spid="_x0000_s1476"/>
                </a:ext>
                <a:ext uri="{FF2B5EF4-FFF2-40B4-BE49-F238E27FC236}">
                  <a16:creationId xmlns:a16="http://schemas.microsoft.com/office/drawing/2014/main" id="{00000000-0008-0000-0200-0000C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178</xdr:row>
          <xdr:rowOff>19050</xdr:rowOff>
        </xdr:from>
        <xdr:to>
          <xdr:col>8</xdr:col>
          <xdr:colOff>19050</xdr:colOff>
          <xdr:row>178</xdr:row>
          <xdr:rowOff>209550</xdr:rowOff>
        </xdr:to>
        <xdr:sp macro="" textlink="">
          <xdr:nvSpPr>
            <xdr:cNvPr id="1477" name="Check Box 453" hidden="1">
              <a:extLst>
                <a:ext uri="{63B3BB69-23CF-44E3-9099-C40C66FF867C}">
                  <a14:compatExt spid="_x0000_s1477"/>
                </a:ext>
                <a:ext uri="{FF2B5EF4-FFF2-40B4-BE49-F238E27FC236}">
                  <a16:creationId xmlns:a16="http://schemas.microsoft.com/office/drawing/2014/main" id="{00000000-0008-0000-0200-0000C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179</xdr:row>
          <xdr:rowOff>28575</xdr:rowOff>
        </xdr:from>
        <xdr:to>
          <xdr:col>12</xdr:col>
          <xdr:colOff>0</xdr:colOff>
          <xdr:row>179</xdr:row>
          <xdr:rowOff>28575</xdr:rowOff>
        </xdr:to>
        <xdr:sp macro="" textlink="">
          <xdr:nvSpPr>
            <xdr:cNvPr id="1478" name="Check Box 454" hidden="1">
              <a:extLst>
                <a:ext uri="{63B3BB69-23CF-44E3-9099-C40C66FF867C}">
                  <a14:compatExt spid="_x0000_s1478"/>
                </a:ext>
                <a:ext uri="{FF2B5EF4-FFF2-40B4-BE49-F238E27FC236}">
                  <a16:creationId xmlns:a16="http://schemas.microsoft.com/office/drawing/2014/main" id="{00000000-0008-0000-0200-0000C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178</xdr:row>
          <xdr:rowOff>19050</xdr:rowOff>
        </xdr:from>
        <xdr:to>
          <xdr:col>8</xdr:col>
          <xdr:colOff>19050</xdr:colOff>
          <xdr:row>178</xdr:row>
          <xdr:rowOff>209550</xdr:rowOff>
        </xdr:to>
        <xdr:sp macro="" textlink="">
          <xdr:nvSpPr>
            <xdr:cNvPr id="1479" name="Check Box 455" hidden="1">
              <a:extLst>
                <a:ext uri="{63B3BB69-23CF-44E3-9099-C40C66FF867C}">
                  <a14:compatExt spid="_x0000_s1479"/>
                </a:ext>
                <a:ext uri="{FF2B5EF4-FFF2-40B4-BE49-F238E27FC236}">
                  <a16:creationId xmlns:a16="http://schemas.microsoft.com/office/drawing/2014/main" id="{00000000-0008-0000-0200-0000C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180</xdr:row>
          <xdr:rowOff>28575</xdr:rowOff>
        </xdr:from>
        <xdr:to>
          <xdr:col>12</xdr:col>
          <xdr:colOff>0</xdr:colOff>
          <xdr:row>180</xdr:row>
          <xdr:rowOff>28575</xdr:rowOff>
        </xdr:to>
        <xdr:sp macro="" textlink="">
          <xdr:nvSpPr>
            <xdr:cNvPr id="1480" name="Check Box 456" hidden="1">
              <a:extLst>
                <a:ext uri="{63B3BB69-23CF-44E3-9099-C40C66FF867C}">
                  <a14:compatExt spid="_x0000_s1480"/>
                </a:ext>
                <a:ext uri="{FF2B5EF4-FFF2-40B4-BE49-F238E27FC236}">
                  <a16:creationId xmlns:a16="http://schemas.microsoft.com/office/drawing/2014/main" id="{00000000-0008-0000-0200-0000C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179</xdr:row>
          <xdr:rowOff>19050</xdr:rowOff>
        </xdr:from>
        <xdr:to>
          <xdr:col>8</xdr:col>
          <xdr:colOff>19050</xdr:colOff>
          <xdr:row>179</xdr:row>
          <xdr:rowOff>209550</xdr:rowOff>
        </xdr:to>
        <xdr:sp macro="" textlink="">
          <xdr:nvSpPr>
            <xdr:cNvPr id="1481" name="Check Box 457" hidden="1">
              <a:extLst>
                <a:ext uri="{63B3BB69-23CF-44E3-9099-C40C66FF867C}">
                  <a14:compatExt spid="_x0000_s1481"/>
                </a:ext>
                <a:ext uri="{FF2B5EF4-FFF2-40B4-BE49-F238E27FC236}">
                  <a16:creationId xmlns:a16="http://schemas.microsoft.com/office/drawing/2014/main" id="{00000000-0008-0000-0200-0000C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4</xdr:col>
      <xdr:colOff>28574</xdr:colOff>
      <xdr:row>175</xdr:row>
      <xdr:rowOff>47625</xdr:rowOff>
    </xdr:from>
    <xdr:ext cx="6612657" cy="752475"/>
    <xdr:pic>
      <xdr:nvPicPr>
        <xdr:cNvPr id="207" name="Picture 206">
          <a:extLst>
            <a:ext uri="{FF2B5EF4-FFF2-40B4-BE49-F238E27FC236}">
              <a16:creationId xmlns:a16="http://schemas.microsoft.com/office/drawing/2014/main" id="{00000000-0008-0000-0200-0000CF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35503" y="39685232"/>
          <a:ext cx="6612657" cy="752475"/>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12</xdr:col>
          <xdr:colOff>0</xdr:colOff>
          <xdr:row>180</xdr:row>
          <xdr:rowOff>28575</xdr:rowOff>
        </xdr:from>
        <xdr:to>
          <xdr:col>12</xdr:col>
          <xdr:colOff>0</xdr:colOff>
          <xdr:row>180</xdr:row>
          <xdr:rowOff>28575</xdr:rowOff>
        </xdr:to>
        <xdr:sp macro="" textlink="">
          <xdr:nvSpPr>
            <xdr:cNvPr id="1482" name="Check Box 458" hidden="1">
              <a:extLst>
                <a:ext uri="{63B3BB69-23CF-44E3-9099-C40C66FF867C}">
                  <a14:compatExt spid="_x0000_s1482"/>
                </a:ext>
                <a:ext uri="{FF2B5EF4-FFF2-40B4-BE49-F238E27FC236}">
                  <a16:creationId xmlns:a16="http://schemas.microsoft.com/office/drawing/2014/main" id="{00000000-0008-0000-0200-0000C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179</xdr:row>
          <xdr:rowOff>19050</xdr:rowOff>
        </xdr:from>
        <xdr:to>
          <xdr:col>8</xdr:col>
          <xdr:colOff>19050</xdr:colOff>
          <xdr:row>179</xdr:row>
          <xdr:rowOff>209550</xdr:rowOff>
        </xdr:to>
        <xdr:sp macro="" textlink="">
          <xdr:nvSpPr>
            <xdr:cNvPr id="1483" name="Check Box 459" hidden="1">
              <a:extLst>
                <a:ext uri="{63B3BB69-23CF-44E3-9099-C40C66FF867C}">
                  <a14:compatExt spid="_x0000_s1483"/>
                </a:ext>
                <a:ext uri="{FF2B5EF4-FFF2-40B4-BE49-F238E27FC236}">
                  <a16:creationId xmlns:a16="http://schemas.microsoft.com/office/drawing/2014/main" id="{00000000-0008-0000-0200-0000C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184</xdr:row>
          <xdr:rowOff>28575</xdr:rowOff>
        </xdr:from>
        <xdr:to>
          <xdr:col>12</xdr:col>
          <xdr:colOff>0</xdr:colOff>
          <xdr:row>184</xdr:row>
          <xdr:rowOff>28575</xdr:rowOff>
        </xdr:to>
        <xdr:sp macro="" textlink="">
          <xdr:nvSpPr>
            <xdr:cNvPr id="1484" name="Check Box 460" hidden="1">
              <a:extLst>
                <a:ext uri="{63B3BB69-23CF-44E3-9099-C40C66FF867C}">
                  <a14:compatExt spid="_x0000_s1484"/>
                </a:ext>
                <a:ext uri="{FF2B5EF4-FFF2-40B4-BE49-F238E27FC236}">
                  <a16:creationId xmlns:a16="http://schemas.microsoft.com/office/drawing/2014/main" id="{00000000-0008-0000-0200-0000CC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185</xdr:row>
          <xdr:rowOff>28575</xdr:rowOff>
        </xdr:from>
        <xdr:to>
          <xdr:col>12</xdr:col>
          <xdr:colOff>0</xdr:colOff>
          <xdr:row>185</xdr:row>
          <xdr:rowOff>28575</xdr:rowOff>
        </xdr:to>
        <xdr:sp macro="" textlink="">
          <xdr:nvSpPr>
            <xdr:cNvPr id="1485" name="Check Box 461" hidden="1">
              <a:extLst>
                <a:ext uri="{63B3BB69-23CF-44E3-9099-C40C66FF867C}">
                  <a14:compatExt spid="_x0000_s1485"/>
                </a:ext>
                <a:ext uri="{FF2B5EF4-FFF2-40B4-BE49-F238E27FC236}">
                  <a16:creationId xmlns:a16="http://schemas.microsoft.com/office/drawing/2014/main" id="{00000000-0008-0000-0200-0000C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186</xdr:row>
          <xdr:rowOff>28575</xdr:rowOff>
        </xdr:from>
        <xdr:to>
          <xdr:col>12</xdr:col>
          <xdr:colOff>0</xdr:colOff>
          <xdr:row>186</xdr:row>
          <xdr:rowOff>28575</xdr:rowOff>
        </xdr:to>
        <xdr:sp macro="" textlink="">
          <xdr:nvSpPr>
            <xdr:cNvPr id="1486" name="Check Box 462" hidden="1">
              <a:extLst>
                <a:ext uri="{63B3BB69-23CF-44E3-9099-C40C66FF867C}">
                  <a14:compatExt spid="_x0000_s1486"/>
                </a:ext>
                <a:ext uri="{FF2B5EF4-FFF2-40B4-BE49-F238E27FC236}">
                  <a16:creationId xmlns:a16="http://schemas.microsoft.com/office/drawing/2014/main" id="{00000000-0008-0000-0200-0000C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187</xdr:row>
          <xdr:rowOff>28575</xdr:rowOff>
        </xdr:from>
        <xdr:to>
          <xdr:col>12</xdr:col>
          <xdr:colOff>0</xdr:colOff>
          <xdr:row>187</xdr:row>
          <xdr:rowOff>28575</xdr:rowOff>
        </xdr:to>
        <xdr:sp macro="" textlink="">
          <xdr:nvSpPr>
            <xdr:cNvPr id="1487" name="Check Box 463" hidden="1">
              <a:extLst>
                <a:ext uri="{63B3BB69-23CF-44E3-9099-C40C66FF867C}">
                  <a14:compatExt spid="_x0000_s1487"/>
                </a:ext>
                <a:ext uri="{FF2B5EF4-FFF2-40B4-BE49-F238E27FC236}">
                  <a16:creationId xmlns:a16="http://schemas.microsoft.com/office/drawing/2014/main" id="{00000000-0008-0000-0200-0000CF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188</xdr:row>
          <xdr:rowOff>28575</xdr:rowOff>
        </xdr:from>
        <xdr:to>
          <xdr:col>12</xdr:col>
          <xdr:colOff>0</xdr:colOff>
          <xdr:row>188</xdr:row>
          <xdr:rowOff>28575</xdr:rowOff>
        </xdr:to>
        <xdr:sp macro="" textlink="">
          <xdr:nvSpPr>
            <xdr:cNvPr id="1488" name="Check Box 464" hidden="1">
              <a:extLst>
                <a:ext uri="{63B3BB69-23CF-44E3-9099-C40C66FF867C}">
                  <a14:compatExt spid="_x0000_s1488"/>
                </a:ext>
                <a:ext uri="{FF2B5EF4-FFF2-40B4-BE49-F238E27FC236}">
                  <a16:creationId xmlns:a16="http://schemas.microsoft.com/office/drawing/2014/main" id="{00000000-0008-0000-0200-0000D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189</xdr:row>
          <xdr:rowOff>28575</xdr:rowOff>
        </xdr:from>
        <xdr:to>
          <xdr:col>12</xdr:col>
          <xdr:colOff>0</xdr:colOff>
          <xdr:row>189</xdr:row>
          <xdr:rowOff>28575</xdr:rowOff>
        </xdr:to>
        <xdr:sp macro="" textlink="">
          <xdr:nvSpPr>
            <xdr:cNvPr id="1489" name="Check Box 465" hidden="1">
              <a:extLst>
                <a:ext uri="{63B3BB69-23CF-44E3-9099-C40C66FF867C}">
                  <a14:compatExt spid="_x0000_s1489"/>
                </a:ext>
                <a:ext uri="{FF2B5EF4-FFF2-40B4-BE49-F238E27FC236}">
                  <a16:creationId xmlns:a16="http://schemas.microsoft.com/office/drawing/2014/main" id="{00000000-0008-0000-0200-0000D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190</xdr:row>
          <xdr:rowOff>28575</xdr:rowOff>
        </xdr:from>
        <xdr:to>
          <xdr:col>12</xdr:col>
          <xdr:colOff>0</xdr:colOff>
          <xdr:row>190</xdr:row>
          <xdr:rowOff>28575</xdr:rowOff>
        </xdr:to>
        <xdr:sp macro="" textlink="">
          <xdr:nvSpPr>
            <xdr:cNvPr id="1490" name="Check Box 466" hidden="1">
              <a:extLst>
                <a:ext uri="{63B3BB69-23CF-44E3-9099-C40C66FF867C}">
                  <a14:compatExt spid="_x0000_s1490"/>
                </a:ext>
                <a:ext uri="{FF2B5EF4-FFF2-40B4-BE49-F238E27FC236}">
                  <a16:creationId xmlns:a16="http://schemas.microsoft.com/office/drawing/2014/main" id="{00000000-0008-0000-0200-0000D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191</xdr:row>
          <xdr:rowOff>28575</xdr:rowOff>
        </xdr:from>
        <xdr:to>
          <xdr:col>12</xdr:col>
          <xdr:colOff>0</xdr:colOff>
          <xdr:row>191</xdr:row>
          <xdr:rowOff>28575</xdr:rowOff>
        </xdr:to>
        <xdr:sp macro="" textlink="">
          <xdr:nvSpPr>
            <xdr:cNvPr id="1491" name="Check Box 467" hidden="1">
              <a:extLst>
                <a:ext uri="{63B3BB69-23CF-44E3-9099-C40C66FF867C}">
                  <a14:compatExt spid="_x0000_s1491"/>
                </a:ext>
                <a:ext uri="{FF2B5EF4-FFF2-40B4-BE49-F238E27FC236}">
                  <a16:creationId xmlns:a16="http://schemas.microsoft.com/office/drawing/2014/main" id="{00000000-0008-0000-0200-0000D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192</xdr:row>
          <xdr:rowOff>28575</xdr:rowOff>
        </xdr:from>
        <xdr:to>
          <xdr:col>12</xdr:col>
          <xdr:colOff>0</xdr:colOff>
          <xdr:row>192</xdr:row>
          <xdr:rowOff>28575</xdr:rowOff>
        </xdr:to>
        <xdr:sp macro="" textlink="">
          <xdr:nvSpPr>
            <xdr:cNvPr id="1492" name="Check Box 468" hidden="1">
              <a:extLst>
                <a:ext uri="{63B3BB69-23CF-44E3-9099-C40C66FF867C}">
                  <a14:compatExt spid="_x0000_s1492"/>
                </a:ext>
                <a:ext uri="{FF2B5EF4-FFF2-40B4-BE49-F238E27FC236}">
                  <a16:creationId xmlns:a16="http://schemas.microsoft.com/office/drawing/2014/main" id="{00000000-0008-0000-0200-0000D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193</xdr:row>
          <xdr:rowOff>28575</xdr:rowOff>
        </xdr:from>
        <xdr:to>
          <xdr:col>12</xdr:col>
          <xdr:colOff>0</xdr:colOff>
          <xdr:row>193</xdr:row>
          <xdr:rowOff>28575</xdr:rowOff>
        </xdr:to>
        <xdr:sp macro="" textlink="">
          <xdr:nvSpPr>
            <xdr:cNvPr id="1493" name="Check Box 469" hidden="1">
              <a:extLst>
                <a:ext uri="{63B3BB69-23CF-44E3-9099-C40C66FF867C}">
                  <a14:compatExt spid="_x0000_s1493"/>
                </a:ext>
                <a:ext uri="{FF2B5EF4-FFF2-40B4-BE49-F238E27FC236}">
                  <a16:creationId xmlns:a16="http://schemas.microsoft.com/office/drawing/2014/main" id="{00000000-0008-0000-0200-0000D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194</xdr:row>
          <xdr:rowOff>28575</xdr:rowOff>
        </xdr:from>
        <xdr:to>
          <xdr:col>12</xdr:col>
          <xdr:colOff>0</xdr:colOff>
          <xdr:row>194</xdr:row>
          <xdr:rowOff>28575</xdr:rowOff>
        </xdr:to>
        <xdr:sp macro="" textlink="">
          <xdr:nvSpPr>
            <xdr:cNvPr id="1494" name="Check Box 470" hidden="1">
              <a:extLst>
                <a:ext uri="{63B3BB69-23CF-44E3-9099-C40C66FF867C}">
                  <a14:compatExt spid="_x0000_s1494"/>
                </a:ext>
                <a:ext uri="{FF2B5EF4-FFF2-40B4-BE49-F238E27FC236}">
                  <a16:creationId xmlns:a16="http://schemas.microsoft.com/office/drawing/2014/main" id="{00000000-0008-0000-0200-0000D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195</xdr:row>
          <xdr:rowOff>28575</xdr:rowOff>
        </xdr:from>
        <xdr:to>
          <xdr:col>12</xdr:col>
          <xdr:colOff>0</xdr:colOff>
          <xdr:row>195</xdr:row>
          <xdr:rowOff>28575</xdr:rowOff>
        </xdr:to>
        <xdr:sp macro="" textlink="">
          <xdr:nvSpPr>
            <xdr:cNvPr id="1495" name="Check Box 471" hidden="1">
              <a:extLst>
                <a:ext uri="{63B3BB69-23CF-44E3-9099-C40C66FF867C}">
                  <a14:compatExt spid="_x0000_s1495"/>
                </a:ext>
                <a:ext uri="{FF2B5EF4-FFF2-40B4-BE49-F238E27FC236}">
                  <a16:creationId xmlns:a16="http://schemas.microsoft.com/office/drawing/2014/main" id="{00000000-0008-0000-0200-0000D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196</xdr:row>
          <xdr:rowOff>28575</xdr:rowOff>
        </xdr:from>
        <xdr:to>
          <xdr:col>12</xdr:col>
          <xdr:colOff>0</xdr:colOff>
          <xdr:row>196</xdr:row>
          <xdr:rowOff>28575</xdr:rowOff>
        </xdr:to>
        <xdr:sp macro="" textlink="">
          <xdr:nvSpPr>
            <xdr:cNvPr id="1496" name="Check Box 472" hidden="1">
              <a:extLst>
                <a:ext uri="{63B3BB69-23CF-44E3-9099-C40C66FF867C}">
                  <a14:compatExt spid="_x0000_s1496"/>
                </a:ext>
                <a:ext uri="{FF2B5EF4-FFF2-40B4-BE49-F238E27FC236}">
                  <a16:creationId xmlns:a16="http://schemas.microsoft.com/office/drawing/2014/main" id="{00000000-0008-0000-0200-0000D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197</xdr:row>
          <xdr:rowOff>28575</xdr:rowOff>
        </xdr:from>
        <xdr:to>
          <xdr:col>12</xdr:col>
          <xdr:colOff>0</xdr:colOff>
          <xdr:row>197</xdr:row>
          <xdr:rowOff>28575</xdr:rowOff>
        </xdr:to>
        <xdr:sp macro="" textlink="">
          <xdr:nvSpPr>
            <xdr:cNvPr id="1497" name="Check Box 473" hidden="1">
              <a:extLst>
                <a:ext uri="{63B3BB69-23CF-44E3-9099-C40C66FF867C}">
                  <a14:compatExt spid="_x0000_s1497"/>
                </a:ext>
                <a:ext uri="{FF2B5EF4-FFF2-40B4-BE49-F238E27FC236}">
                  <a16:creationId xmlns:a16="http://schemas.microsoft.com/office/drawing/2014/main" id="{00000000-0008-0000-0200-0000D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198</xdr:row>
          <xdr:rowOff>28575</xdr:rowOff>
        </xdr:from>
        <xdr:to>
          <xdr:col>12</xdr:col>
          <xdr:colOff>0</xdr:colOff>
          <xdr:row>198</xdr:row>
          <xdr:rowOff>28575</xdr:rowOff>
        </xdr:to>
        <xdr:sp macro="" textlink="">
          <xdr:nvSpPr>
            <xdr:cNvPr id="1498" name="Check Box 474" hidden="1">
              <a:extLst>
                <a:ext uri="{63B3BB69-23CF-44E3-9099-C40C66FF867C}">
                  <a14:compatExt spid="_x0000_s1498"/>
                </a:ext>
                <a:ext uri="{FF2B5EF4-FFF2-40B4-BE49-F238E27FC236}">
                  <a16:creationId xmlns:a16="http://schemas.microsoft.com/office/drawing/2014/main" id="{00000000-0008-0000-0200-0000D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199</xdr:row>
          <xdr:rowOff>28575</xdr:rowOff>
        </xdr:from>
        <xdr:to>
          <xdr:col>12</xdr:col>
          <xdr:colOff>0</xdr:colOff>
          <xdr:row>199</xdr:row>
          <xdr:rowOff>28575</xdr:rowOff>
        </xdr:to>
        <xdr:sp macro="" textlink="">
          <xdr:nvSpPr>
            <xdr:cNvPr id="1499" name="Check Box 475" hidden="1">
              <a:extLst>
                <a:ext uri="{63B3BB69-23CF-44E3-9099-C40C66FF867C}">
                  <a14:compatExt spid="_x0000_s1499"/>
                </a:ext>
                <a:ext uri="{FF2B5EF4-FFF2-40B4-BE49-F238E27FC236}">
                  <a16:creationId xmlns:a16="http://schemas.microsoft.com/office/drawing/2014/main" id="{00000000-0008-0000-0200-0000D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200</xdr:row>
          <xdr:rowOff>28575</xdr:rowOff>
        </xdr:from>
        <xdr:to>
          <xdr:col>12</xdr:col>
          <xdr:colOff>0</xdr:colOff>
          <xdr:row>200</xdr:row>
          <xdr:rowOff>28575</xdr:rowOff>
        </xdr:to>
        <xdr:sp macro="" textlink="">
          <xdr:nvSpPr>
            <xdr:cNvPr id="1500" name="Check Box 476" hidden="1">
              <a:extLst>
                <a:ext uri="{63B3BB69-23CF-44E3-9099-C40C66FF867C}">
                  <a14:compatExt spid="_x0000_s1500"/>
                </a:ext>
                <a:ext uri="{FF2B5EF4-FFF2-40B4-BE49-F238E27FC236}">
                  <a16:creationId xmlns:a16="http://schemas.microsoft.com/office/drawing/2014/main" id="{00000000-0008-0000-0200-0000DC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201</xdr:row>
          <xdr:rowOff>28575</xdr:rowOff>
        </xdr:from>
        <xdr:to>
          <xdr:col>12</xdr:col>
          <xdr:colOff>0</xdr:colOff>
          <xdr:row>201</xdr:row>
          <xdr:rowOff>28575</xdr:rowOff>
        </xdr:to>
        <xdr:sp macro="" textlink="">
          <xdr:nvSpPr>
            <xdr:cNvPr id="1501" name="Check Box 477" hidden="1">
              <a:extLst>
                <a:ext uri="{63B3BB69-23CF-44E3-9099-C40C66FF867C}">
                  <a14:compatExt spid="_x0000_s1501"/>
                </a:ext>
                <a:ext uri="{FF2B5EF4-FFF2-40B4-BE49-F238E27FC236}">
                  <a16:creationId xmlns:a16="http://schemas.microsoft.com/office/drawing/2014/main" id="{00000000-0008-0000-0200-0000D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202</xdr:row>
          <xdr:rowOff>28575</xdr:rowOff>
        </xdr:from>
        <xdr:to>
          <xdr:col>12</xdr:col>
          <xdr:colOff>0</xdr:colOff>
          <xdr:row>202</xdr:row>
          <xdr:rowOff>28575</xdr:rowOff>
        </xdr:to>
        <xdr:sp macro="" textlink="">
          <xdr:nvSpPr>
            <xdr:cNvPr id="1502" name="Check Box 478" hidden="1">
              <a:extLst>
                <a:ext uri="{63B3BB69-23CF-44E3-9099-C40C66FF867C}">
                  <a14:compatExt spid="_x0000_s1502"/>
                </a:ext>
                <a:ext uri="{FF2B5EF4-FFF2-40B4-BE49-F238E27FC236}">
                  <a16:creationId xmlns:a16="http://schemas.microsoft.com/office/drawing/2014/main" id="{00000000-0008-0000-0200-0000D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209</xdr:row>
          <xdr:rowOff>28575</xdr:rowOff>
        </xdr:from>
        <xdr:to>
          <xdr:col>12</xdr:col>
          <xdr:colOff>0</xdr:colOff>
          <xdr:row>209</xdr:row>
          <xdr:rowOff>28575</xdr:rowOff>
        </xdr:to>
        <xdr:sp macro="" textlink="">
          <xdr:nvSpPr>
            <xdr:cNvPr id="1504" name="Check Box 480" hidden="1">
              <a:extLst>
                <a:ext uri="{63B3BB69-23CF-44E3-9099-C40C66FF867C}">
                  <a14:compatExt spid="_x0000_s1504"/>
                </a:ext>
                <a:ext uri="{FF2B5EF4-FFF2-40B4-BE49-F238E27FC236}">
                  <a16:creationId xmlns:a16="http://schemas.microsoft.com/office/drawing/2014/main" id="{00000000-0008-0000-0200-0000E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208</xdr:row>
          <xdr:rowOff>19050</xdr:rowOff>
        </xdr:from>
        <xdr:to>
          <xdr:col>8</xdr:col>
          <xdr:colOff>19050</xdr:colOff>
          <xdr:row>208</xdr:row>
          <xdr:rowOff>209550</xdr:rowOff>
        </xdr:to>
        <xdr:sp macro="" textlink="">
          <xdr:nvSpPr>
            <xdr:cNvPr id="1505" name="Check Box 481" hidden="1">
              <a:extLst>
                <a:ext uri="{63B3BB69-23CF-44E3-9099-C40C66FF867C}">
                  <a14:compatExt spid="_x0000_s1505"/>
                </a:ext>
                <a:ext uri="{FF2B5EF4-FFF2-40B4-BE49-F238E27FC236}">
                  <a16:creationId xmlns:a16="http://schemas.microsoft.com/office/drawing/2014/main" id="{00000000-0008-0000-0200-0000E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239</xdr:row>
          <xdr:rowOff>28575</xdr:rowOff>
        </xdr:from>
        <xdr:to>
          <xdr:col>12</xdr:col>
          <xdr:colOff>0</xdr:colOff>
          <xdr:row>239</xdr:row>
          <xdr:rowOff>28575</xdr:rowOff>
        </xdr:to>
        <xdr:sp macro="" textlink="">
          <xdr:nvSpPr>
            <xdr:cNvPr id="1506" name="Check Box 482" hidden="1">
              <a:extLst>
                <a:ext uri="{63B3BB69-23CF-44E3-9099-C40C66FF867C}">
                  <a14:compatExt spid="_x0000_s1506"/>
                </a:ext>
                <a:ext uri="{FF2B5EF4-FFF2-40B4-BE49-F238E27FC236}">
                  <a16:creationId xmlns:a16="http://schemas.microsoft.com/office/drawing/2014/main" id="{00000000-0008-0000-0200-0000E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238</xdr:row>
          <xdr:rowOff>19050</xdr:rowOff>
        </xdr:from>
        <xdr:to>
          <xdr:col>8</xdr:col>
          <xdr:colOff>19050</xdr:colOff>
          <xdr:row>238</xdr:row>
          <xdr:rowOff>209550</xdr:rowOff>
        </xdr:to>
        <xdr:sp macro="" textlink="">
          <xdr:nvSpPr>
            <xdr:cNvPr id="1507" name="Check Box 483" hidden="1">
              <a:extLst>
                <a:ext uri="{63B3BB69-23CF-44E3-9099-C40C66FF867C}">
                  <a14:compatExt spid="_x0000_s1507"/>
                </a:ext>
                <a:ext uri="{FF2B5EF4-FFF2-40B4-BE49-F238E27FC236}">
                  <a16:creationId xmlns:a16="http://schemas.microsoft.com/office/drawing/2014/main" id="{00000000-0008-0000-0200-0000E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270</xdr:row>
          <xdr:rowOff>28575</xdr:rowOff>
        </xdr:from>
        <xdr:to>
          <xdr:col>12</xdr:col>
          <xdr:colOff>0</xdr:colOff>
          <xdr:row>270</xdr:row>
          <xdr:rowOff>28575</xdr:rowOff>
        </xdr:to>
        <xdr:sp macro="" textlink="">
          <xdr:nvSpPr>
            <xdr:cNvPr id="1508" name="Check Box 484" hidden="1">
              <a:extLst>
                <a:ext uri="{63B3BB69-23CF-44E3-9099-C40C66FF867C}">
                  <a14:compatExt spid="_x0000_s1508"/>
                </a:ext>
                <a:ext uri="{FF2B5EF4-FFF2-40B4-BE49-F238E27FC236}">
                  <a16:creationId xmlns:a16="http://schemas.microsoft.com/office/drawing/2014/main" id="{00000000-0008-0000-0200-0000E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269</xdr:row>
          <xdr:rowOff>19050</xdr:rowOff>
        </xdr:from>
        <xdr:to>
          <xdr:col>8</xdr:col>
          <xdr:colOff>19050</xdr:colOff>
          <xdr:row>269</xdr:row>
          <xdr:rowOff>209550</xdr:rowOff>
        </xdr:to>
        <xdr:sp macro="" textlink="">
          <xdr:nvSpPr>
            <xdr:cNvPr id="1509" name="Check Box 485" hidden="1">
              <a:extLst>
                <a:ext uri="{63B3BB69-23CF-44E3-9099-C40C66FF867C}">
                  <a14:compatExt spid="_x0000_s1509"/>
                </a:ext>
                <a:ext uri="{FF2B5EF4-FFF2-40B4-BE49-F238E27FC236}">
                  <a16:creationId xmlns:a16="http://schemas.microsoft.com/office/drawing/2014/main" id="{00000000-0008-0000-0200-0000E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300</xdr:row>
          <xdr:rowOff>28575</xdr:rowOff>
        </xdr:from>
        <xdr:to>
          <xdr:col>12</xdr:col>
          <xdr:colOff>0</xdr:colOff>
          <xdr:row>300</xdr:row>
          <xdr:rowOff>28575</xdr:rowOff>
        </xdr:to>
        <xdr:sp macro="" textlink="">
          <xdr:nvSpPr>
            <xdr:cNvPr id="1510" name="Check Box 486" hidden="1">
              <a:extLst>
                <a:ext uri="{63B3BB69-23CF-44E3-9099-C40C66FF867C}">
                  <a14:compatExt spid="_x0000_s1510"/>
                </a:ext>
                <a:ext uri="{FF2B5EF4-FFF2-40B4-BE49-F238E27FC236}">
                  <a16:creationId xmlns:a16="http://schemas.microsoft.com/office/drawing/2014/main" id="{00000000-0008-0000-0200-0000E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299</xdr:row>
          <xdr:rowOff>19050</xdr:rowOff>
        </xdr:from>
        <xdr:to>
          <xdr:col>8</xdr:col>
          <xdr:colOff>19050</xdr:colOff>
          <xdr:row>300</xdr:row>
          <xdr:rowOff>19050</xdr:rowOff>
        </xdr:to>
        <xdr:sp macro="" textlink="">
          <xdr:nvSpPr>
            <xdr:cNvPr id="1511" name="Check Box 487" hidden="1">
              <a:extLst>
                <a:ext uri="{63B3BB69-23CF-44E3-9099-C40C66FF867C}">
                  <a14:compatExt spid="_x0000_s1511"/>
                </a:ext>
                <a:ext uri="{FF2B5EF4-FFF2-40B4-BE49-F238E27FC236}">
                  <a16:creationId xmlns:a16="http://schemas.microsoft.com/office/drawing/2014/main" id="{00000000-0008-0000-0200-0000E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237</xdr:row>
          <xdr:rowOff>28575</xdr:rowOff>
        </xdr:from>
        <xdr:to>
          <xdr:col>12</xdr:col>
          <xdr:colOff>0</xdr:colOff>
          <xdr:row>237</xdr:row>
          <xdr:rowOff>28575</xdr:rowOff>
        </xdr:to>
        <xdr:sp macro="" textlink="">
          <xdr:nvSpPr>
            <xdr:cNvPr id="1512" name="Check Box 488" hidden="1">
              <a:extLst>
                <a:ext uri="{63B3BB69-23CF-44E3-9099-C40C66FF867C}">
                  <a14:compatExt spid="_x0000_s1512"/>
                </a:ext>
                <a:ext uri="{FF2B5EF4-FFF2-40B4-BE49-F238E27FC236}">
                  <a16:creationId xmlns:a16="http://schemas.microsoft.com/office/drawing/2014/main" id="{00000000-0008-0000-0200-0000E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236</xdr:row>
          <xdr:rowOff>19050</xdr:rowOff>
        </xdr:from>
        <xdr:to>
          <xdr:col>8</xdr:col>
          <xdr:colOff>19050</xdr:colOff>
          <xdr:row>236</xdr:row>
          <xdr:rowOff>209550</xdr:rowOff>
        </xdr:to>
        <xdr:sp macro="" textlink="">
          <xdr:nvSpPr>
            <xdr:cNvPr id="1513" name="Check Box 489" hidden="1">
              <a:extLst>
                <a:ext uri="{63B3BB69-23CF-44E3-9099-C40C66FF867C}">
                  <a14:compatExt spid="_x0000_s1513"/>
                </a:ext>
                <a:ext uri="{FF2B5EF4-FFF2-40B4-BE49-F238E27FC236}">
                  <a16:creationId xmlns:a16="http://schemas.microsoft.com/office/drawing/2014/main" id="{00000000-0008-0000-0200-0000E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268</xdr:row>
          <xdr:rowOff>28575</xdr:rowOff>
        </xdr:from>
        <xdr:to>
          <xdr:col>12</xdr:col>
          <xdr:colOff>0</xdr:colOff>
          <xdr:row>268</xdr:row>
          <xdr:rowOff>28575</xdr:rowOff>
        </xdr:to>
        <xdr:sp macro="" textlink="">
          <xdr:nvSpPr>
            <xdr:cNvPr id="1514" name="Check Box 490" hidden="1">
              <a:extLst>
                <a:ext uri="{63B3BB69-23CF-44E3-9099-C40C66FF867C}">
                  <a14:compatExt spid="_x0000_s1514"/>
                </a:ext>
                <a:ext uri="{FF2B5EF4-FFF2-40B4-BE49-F238E27FC236}">
                  <a16:creationId xmlns:a16="http://schemas.microsoft.com/office/drawing/2014/main" id="{00000000-0008-0000-0200-0000E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267</xdr:row>
          <xdr:rowOff>19050</xdr:rowOff>
        </xdr:from>
        <xdr:to>
          <xdr:col>8</xdr:col>
          <xdr:colOff>19050</xdr:colOff>
          <xdr:row>267</xdr:row>
          <xdr:rowOff>209550</xdr:rowOff>
        </xdr:to>
        <xdr:sp macro="" textlink="">
          <xdr:nvSpPr>
            <xdr:cNvPr id="1515" name="Check Box 491" hidden="1">
              <a:extLst>
                <a:ext uri="{63B3BB69-23CF-44E3-9099-C40C66FF867C}">
                  <a14:compatExt spid="_x0000_s1515"/>
                </a:ext>
                <a:ext uri="{FF2B5EF4-FFF2-40B4-BE49-F238E27FC236}">
                  <a16:creationId xmlns:a16="http://schemas.microsoft.com/office/drawing/2014/main" id="{00000000-0008-0000-0200-0000E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266</xdr:row>
          <xdr:rowOff>28575</xdr:rowOff>
        </xdr:from>
        <xdr:to>
          <xdr:col>12</xdr:col>
          <xdr:colOff>0</xdr:colOff>
          <xdr:row>266</xdr:row>
          <xdr:rowOff>28575</xdr:rowOff>
        </xdr:to>
        <xdr:sp macro="" textlink="">
          <xdr:nvSpPr>
            <xdr:cNvPr id="1516" name="Check Box 492" hidden="1">
              <a:extLst>
                <a:ext uri="{63B3BB69-23CF-44E3-9099-C40C66FF867C}">
                  <a14:compatExt spid="_x0000_s1516"/>
                </a:ext>
                <a:ext uri="{FF2B5EF4-FFF2-40B4-BE49-F238E27FC236}">
                  <a16:creationId xmlns:a16="http://schemas.microsoft.com/office/drawing/2014/main" id="{00000000-0008-0000-0200-0000EC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265</xdr:row>
          <xdr:rowOff>19050</xdr:rowOff>
        </xdr:from>
        <xdr:to>
          <xdr:col>8</xdr:col>
          <xdr:colOff>19050</xdr:colOff>
          <xdr:row>265</xdr:row>
          <xdr:rowOff>209550</xdr:rowOff>
        </xdr:to>
        <xdr:sp macro="" textlink="">
          <xdr:nvSpPr>
            <xdr:cNvPr id="1517" name="Check Box 493" hidden="1">
              <a:extLst>
                <a:ext uri="{63B3BB69-23CF-44E3-9099-C40C66FF867C}">
                  <a14:compatExt spid="_x0000_s1517"/>
                </a:ext>
                <a:ext uri="{FF2B5EF4-FFF2-40B4-BE49-F238E27FC236}">
                  <a16:creationId xmlns:a16="http://schemas.microsoft.com/office/drawing/2014/main" id="{00000000-0008-0000-0200-0000E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237</xdr:row>
          <xdr:rowOff>28575</xdr:rowOff>
        </xdr:from>
        <xdr:to>
          <xdr:col>12</xdr:col>
          <xdr:colOff>0</xdr:colOff>
          <xdr:row>237</xdr:row>
          <xdr:rowOff>28575</xdr:rowOff>
        </xdr:to>
        <xdr:sp macro="" textlink="">
          <xdr:nvSpPr>
            <xdr:cNvPr id="1518" name="Check Box 494" hidden="1">
              <a:extLst>
                <a:ext uri="{63B3BB69-23CF-44E3-9099-C40C66FF867C}">
                  <a14:compatExt spid="_x0000_s1518"/>
                </a:ext>
                <a:ext uri="{FF2B5EF4-FFF2-40B4-BE49-F238E27FC236}">
                  <a16:creationId xmlns:a16="http://schemas.microsoft.com/office/drawing/2014/main" id="{00000000-0008-0000-0200-0000E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236</xdr:row>
          <xdr:rowOff>19050</xdr:rowOff>
        </xdr:from>
        <xdr:to>
          <xdr:col>8</xdr:col>
          <xdr:colOff>19050</xdr:colOff>
          <xdr:row>236</xdr:row>
          <xdr:rowOff>209550</xdr:rowOff>
        </xdr:to>
        <xdr:sp macro="" textlink="">
          <xdr:nvSpPr>
            <xdr:cNvPr id="1519" name="Check Box 495" hidden="1">
              <a:extLst>
                <a:ext uri="{63B3BB69-23CF-44E3-9099-C40C66FF867C}">
                  <a14:compatExt spid="_x0000_s1519"/>
                </a:ext>
                <a:ext uri="{FF2B5EF4-FFF2-40B4-BE49-F238E27FC236}">
                  <a16:creationId xmlns:a16="http://schemas.microsoft.com/office/drawing/2014/main" id="{00000000-0008-0000-0200-0000EF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4</xdr:col>
      <xdr:colOff>28574</xdr:colOff>
      <xdr:row>204</xdr:row>
      <xdr:rowOff>47625</xdr:rowOff>
    </xdr:from>
    <xdr:ext cx="6638991" cy="752475"/>
    <xdr:pic>
      <xdr:nvPicPr>
        <xdr:cNvPr id="246" name="Picture 245">
          <a:extLst>
            <a:ext uri="{FF2B5EF4-FFF2-40B4-BE49-F238E27FC236}">
              <a16:creationId xmlns:a16="http://schemas.microsoft.com/office/drawing/2014/main" id="{00000000-0008-0000-0200-0000F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35503" y="46271089"/>
          <a:ext cx="6638991" cy="752475"/>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12</xdr:col>
          <xdr:colOff>0</xdr:colOff>
          <xdr:row>209</xdr:row>
          <xdr:rowOff>28575</xdr:rowOff>
        </xdr:from>
        <xdr:to>
          <xdr:col>12</xdr:col>
          <xdr:colOff>0</xdr:colOff>
          <xdr:row>209</xdr:row>
          <xdr:rowOff>28575</xdr:rowOff>
        </xdr:to>
        <xdr:sp macro="" textlink="">
          <xdr:nvSpPr>
            <xdr:cNvPr id="1520" name="Check Box 496" hidden="1">
              <a:extLst>
                <a:ext uri="{63B3BB69-23CF-44E3-9099-C40C66FF867C}">
                  <a14:compatExt spid="_x0000_s1520"/>
                </a:ext>
                <a:ext uri="{FF2B5EF4-FFF2-40B4-BE49-F238E27FC236}">
                  <a16:creationId xmlns:a16="http://schemas.microsoft.com/office/drawing/2014/main" id="{00000000-0008-0000-0200-0000F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208</xdr:row>
          <xdr:rowOff>19050</xdr:rowOff>
        </xdr:from>
        <xdr:to>
          <xdr:col>8</xdr:col>
          <xdr:colOff>19050</xdr:colOff>
          <xdr:row>208</xdr:row>
          <xdr:rowOff>209550</xdr:rowOff>
        </xdr:to>
        <xdr:sp macro="" textlink="">
          <xdr:nvSpPr>
            <xdr:cNvPr id="1521" name="Check Box 497" hidden="1">
              <a:extLst>
                <a:ext uri="{63B3BB69-23CF-44E3-9099-C40C66FF867C}">
                  <a14:compatExt spid="_x0000_s1521"/>
                </a:ext>
                <a:ext uri="{FF2B5EF4-FFF2-40B4-BE49-F238E27FC236}">
                  <a16:creationId xmlns:a16="http://schemas.microsoft.com/office/drawing/2014/main" id="{00000000-0008-0000-0200-0000F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238</xdr:row>
          <xdr:rowOff>28575</xdr:rowOff>
        </xdr:from>
        <xdr:to>
          <xdr:col>12</xdr:col>
          <xdr:colOff>0</xdr:colOff>
          <xdr:row>238</xdr:row>
          <xdr:rowOff>28575</xdr:rowOff>
        </xdr:to>
        <xdr:sp macro="" textlink="">
          <xdr:nvSpPr>
            <xdr:cNvPr id="1522" name="Check Box 498" hidden="1">
              <a:extLst>
                <a:ext uri="{63B3BB69-23CF-44E3-9099-C40C66FF867C}">
                  <a14:compatExt spid="_x0000_s1522"/>
                </a:ext>
                <a:ext uri="{FF2B5EF4-FFF2-40B4-BE49-F238E27FC236}">
                  <a16:creationId xmlns:a16="http://schemas.microsoft.com/office/drawing/2014/main" id="{00000000-0008-0000-0200-0000F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237</xdr:row>
          <xdr:rowOff>19050</xdr:rowOff>
        </xdr:from>
        <xdr:to>
          <xdr:col>8</xdr:col>
          <xdr:colOff>19050</xdr:colOff>
          <xdr:row>237</xdr:row>
          <xdr:rowOff>209550</xdr:rowOff>
        </xdr:to>
        <xdr:sp macro="" textlink="">
          <xdr:nvSpPr>
            <xdr:cNvPr id="1523" name="Check Box 499" hidden="1">
              <a:extLst>
                <a:ext uri="{63B3BB69-23CF-44E3-9099-C40C66FF867C}">
                  <a14:compatExt spid="_x0000_s1523"/>
                </a:ext>
                <a:ext uri="{FF2B5EF4-FFF2-40B4-BE49-F238E27FC236}">
                  <a16:creationId xmlns:a16="http://schemas.microsoft.com/office/drawing/2014/main" id="{00000000-0008-0000-0200-0000F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4</xdr:col>
      <xdr:colOff>28574</xdr:colOff>
      <xdr:row>233</xdr:row>
      <xdr:rowOff>47625</xdr:rowOff>
    </xdr:from>
    <xdr:ext cx="6612657" cy="752475"/>
    <xdr:pic>
      <xdr:nvPicPr>
        <xdr:cNvPr id="251" name="Picture 250">
          <a:extLst>
            <a:ext uri="{FF2B5EF4-FFF2-40B4-BE49-F238E27FC236}">
              <a16:creationId xmlns:a16="http://schemas.microsoft.com/office/drawing/2014/main" id="{00000000-0008-0000-0200-0000F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35503" y="52870554"/>
          <a:ext cx="6612657" cy="752475"/>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12</xdr:col>
          <xdr:colOff>0</xdr:colOff>
          <xdr:row>238</xdr:row>
          <xdr:rowOff>28575</xdr:rowOff>
        </xdr:from>
        <xdr:to>
          <xdr:col>12</xdr:col>
          <xdr:colOff>0</xdr:colOff>
          <xdr:row>238</xdr:row>
          <xdr:rowOff>28575</xdr:rowOff>
        </xdr:to>
        <xdr:sp macro="" textlink="">
          <xdr:nvSpPr>
            <xdr:cNvPr id="1524" name="Check Box 500" hidden="1">
              <a:extLst>
                <a:ext uri="{63B3BB69-23CF-44E3-9099-C40C66FF867C}">
                  <a14:compatExt spid="_x0000_s1524"/>
                </a:ext>
                <a:ext uri="{FF2B5EF4-FFF2-40B4-BE49-F238E27FC236}">
                  <a16:creationId xmlns:a16="http://schemas.microsoft.com/office/drawing/2014/main" id="{00000000-0008-0000-0200-0000F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237</xdr:row>
          <xdr:rowOff>19050</xdr:rowOff>
        </xdr:from>
        <xdr:to>
          <xdr:col>8</xdr:col>
          <xdr:colOff>19050</xdr:colOff>
          <xdr:row>237</xdr:row>
          <xdr:rowOff>209550</xdr:rowOff>
        </xdr:to>
        <xdr:sp macro="" textlink="">
          <xdr:nvSpPr>
            <xdr:cNvPr id="1525" name="Check Box 501" hidden="1">
              <a:extLst>
                <a:ext uri="{63B3BB69-23CF-44E3-9099-C40C66FF867C}">
                  <a14:compatExt spid="_x0000_s1525"/>
                </a:ext>
                <a:ext uri="{FF2B5EF4-FFF2-40B4-BE49-F238E27FC236}">
                  <a16:creationId xmlns:a16="http://schemas.microsoft.com/office/drawing/2014/main" id="{00000000-0008-0000-0200-0000F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268</xdr:row>
          <xdr:rowOff>28575</xdr:rowOff>
        </xdr:from>
        <xdr:to>
          <xdr:col>12</xdr:col>
          <xdr:colOff>0</xdr:colOff>
          <xdr:row>268</xdr:row>
          <xdr:rowOff>28575</xdr:rowOff>
        </xdr:to>
        <xdr:sp macro="" textlink="">
          <xdr:nvSpPr>
            <xdr:cNvPr id="1526" name="Check Box 502" hidden="1">
              <a:extLst>
                <a:ext uri="{63B3BB69-23CF-44E3-9099-C40C66FF867C}">
                  <a14:compatExt spid="_x0000_s1526"/>
                </a:ext>
                <a:ext uri="{FF2B5EF4-FFF2-40B4-BE49-F238E27FC236}">
                  <a16:creationId xmlns:a16="http://schemas.microsoft.com/office/drawing/2014/main" id="{00000000-0008-0000-0200-0000F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267</xdr:row>
          <xdr:rowOff>19050</xdr:rowOff>
        </xdr:from>
        <xdr:to>
          <xdr:col>8</xdr:col>
          <xdr:colOff>19050</xdr:colOff>
          <xdr:row>267</xdr:row>
          <xdr:rowOff>209550</xdr:rowOff>
        </xdr:to>
        <xdr:sp macro="" textlink="">
          <xdr:nvSpPr>
            <xdr:cNvPr id="1527" name="Check Box 503" hidden="1">
              <a:extLst>
                <a:ext uri="{63B3BB69-23CF-44E3-9099-C40C66FF867C}">
                  <a14:compatExt spid="_x0000_s1527"/>
                </a:ext>
                <a:ext uri="{FF2B5EF4-FFF2-40B4-BE49-F238E27FC236}">
                  <a16:creationId xmlns:a16="http://schemas.microsoft.com/office/drawing/2014/main" id="{00000000-0008-0000-0200-0000F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266</xdr:row>
          <xdr:rowOff>28575</xdr:rowOff>
        </xdr:from>
        <xdr:to>
          <xdr:col>12</xdr:col>
          <xdr:colOff>0</xdr:colOff>
          <xdr:row>266</xdr:row>
          <xdr:rowOff>28575</xdr:rowOff>
        </xdr:to>
        <xdr:sp macro="" textlink="">
          <xdr:nvSpPr>
            <xdr:cNvPr id="1528" name="Check Box 504" hidden="1">
              <a:extLst>
                <a:ext uri="{63B3BB69-23CF-44E3-9099-C40C66FF867C}">
                  <a14:compatExt spid="_x0000_s1528"/>
                </a:ext>
                <a:ext uri="{FF2B5EF4-FFF2-40B4-BE49-F238E27FC236}">
                  <a16:creationId xmlns:a16="http://schemas.microsoft.com/office/drawing/2014/main" id="{00000000-0008-0000-0200-0000F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265</xdr:row>
          <xdr:rowOff>19050</xdr:rowOff>
        </xdr:from>
        <xdr:to>
          <xdr:col>8</xdr:col>
          <xdr:colOff>19050</xdr:colOff>
          <xdr:row>265</xdr:row>
          <xdr:rowOff>209550</xdr:rowOff>
        </xdr:to>
        <xdr:sp macro="" textlink="">
          <xdr:nvSpPr>
            <xdr:cNvPr id="1529" name="Check Box 505" hidden="1">
              <a:extLst>
                <a:ext uri="{63B3BB69-23CF-44E3-9099-C40C66FF867C}">
                  <a14:compatExt spid="_x0000_s1529"/>
                </a:ext>
                <a:ext uri="{FF2B5EF4-FFF2-40B4-BE49-F238E27FC236}">
                  <a16:creationId xmlns:a16="http://schemas.microsoft.com/office/drawing/2014/main" id="{00000000-0008-0000-0200-0000F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266</xdr:row>
          <xdr:rowOff>28575</xdr:rowOff>
        </xdr:from>
        <xdr:to>
          <xdr:col>12</xdr:col>
          <xdr:colOff>0</xdr:colOff>
          <xdr:row>266</xdr:row>
          <xdr:rowOff>28575</xdr:rowOff>
        </xdr:to>
        <xdr:sp macro="" textlink="">
          <xdr:nvSpPr>
            <xdr:cNvPr id="1530" name="Check Box 506" hidden="1">
              <a:extLst>
                <a:ext uri="{63B3BB69-23CF-44E3-9099-C40C66FF867C}">
                  <a14:compatExt spid="_x0000_s1530"/>
                </a:ext>
                <a:ext uri="{FF2B5EF4-FFF2-40B4-BE49-F238E27FC236}">
                  <a16:creationId xmlns:a16="http://schemas.microsoft.com/office/drawing/2014/main" id="{00000000-0008-0000-0200-0000F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265</xdr:row>
          <xdr:rowOff>19050</xdr:rowOff>
        </xdr:from>
        <xdr:to>
          <xdr:col>8</xdr:col>
          <xdr:colOff>19050</xdr:colOff>
          <xdr:row>265</xdr:row>
          <xdr:rowOff>209550</xdr:rowOff>
        </xdr:to>
        <xdr:sp macro="" textlink="">
          <xdr:nvSpPr>
            <xdr:cNvPr id="1531" name="Check Box 507" hidden="1">
              <a:extLst>
                <a:ext uri="{63B3BB69-23CF-44E3-9099-C40C66FF867C}">
                  <a14:compatExt spid="_x0000_s1531"/>
                </a:ext>
                <a:ext uri="{FF2B5EF4-FFF2-40B4-BE49-F238E27FC236}">
                  <a16:creationId xmlns:a16="http://schemas.microsoft.com/office/drawing/2014/main" id="{00000000-0008-0000-0200-0000F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267</xdr:row>
          <xdr:rowOff>28575</xdr:rowOff>
        </xdr:from>
        <xdr:to>
          <xdr:col>12</xdr:col>
          <xdr:colOff>0</xdr:colOff>
          <xdr:row>267</xdr:row>
          <xdr:rowOff>28575</xdr:rowOff>
        </xdr:to>
        <xdr:sp macro="" textlink="">
          <xdr:nvSpPr>
            <xdr:cNvPr id="1532" name="Check Box 508" hidden="1">
              <a:extLst>
                <a:ext uri="{63B3BB69-23CF-44E3-9099-C40C66FF867C}">
                  <a14:compatExt spid="_x0000_s1532"/>
                </a:ext>
                <a:ext uri="{FF2B5EF4-FFF2-40B4-BE49-F238E27FC236}">
                  <a16:creationId xmlns:a16="http://schemas.microsoft.com/office/drawing/2014/main" id="{00000000-0008-0000-0200-0000FC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266</xdr:row>
          <xdr:rowOff>19050</xdr:rowOff>
        </xdr:from>
        <xdr:to>
          <xdr:col>8</xdr:col>
          <xdr:colOff>19050</xdr:colOff>
          <xdr:row>266</xdr:row>
          <xdr:rowOff>209550</xdr:rowOff>
        </xdr:to>
        <xdr:sp macro="" textlink="">
          <xdr:nvSpPr>
            <xdr:cNvPr id="1533" name="Check Box 509" hidden="1">
              <a:extLst>
                <a:ext uri="{63B3BB69-23CF-44E3-9099-C40C66FF867C}">
                  <a14:compatExt spid="_x0000_s1533"/>
                </a:ext>
                <a:ext uri="{FF2B5EF4-FFF2-40B4-BE49-F238E27FC236}">
                  <a16:creationId xmlns:a16="http://schemas.microsoft.com/office/drawing/2014/main" id="{00000000-0008-0000-0200-0000F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4</xdr:col>
      <xdr:colOff>28574</xdr:colOff>
      <xdr:row>262</xdr:row>
      <xdr:rowOff>47625</xdr:rowOff>
    </xdr:from>
    <xdr:ext cx="6612657" cy="752475"/>
    <xdr:pic>
      <xdr:nvPicPr>
        <xdr:cNvPr id="262" name="Picture 261">
          <a:extLst>
            <a:ext uri="{FF2B5EF4-FFF2-40B4-BE49-F238E27FC236}">
              <a16:creationId xmlns:a16="http://schemas.microsoft.com/office/drawing/2014/main" id="{00000000-0008-0000-0200-00000601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35503" y="59497232"/>
          <a:ext cx="6612657" cy="752475"/>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12</xdr:col>
          <xdr:colOff>0</xdr:colOff>
          <xdr:row>267</xdr:row>
          <xdr:rowOff>28575</xdr:rowOff>
        </xdr:from>
        <xdr:to>
          <xdr:col>12</xdr:col>
          <xdr:colOff>0</xdr:colOff>
          <xdr:row>267</xdr:row>
          <xdr:rowOff>28575</xdr:rowOff>
        </xdr:to>
        <xdr:sp macro="" textlink="">
          <xdr:nvSpPr>
            <xdr:cNvPr id="1534" name="Check Box 510" hidden="1">
              <a:extLst>
                <a:ext uri="{63B3BB69-23CF-44E3-9099-C40C66FF867C}">
                  <a14:compatExt spid="_x0000_s1534"/>
                </a:ext>
                <a:ext uri="{FF2B5EF4-FFF2-40B4-BE49-F238E27FC236}">
                  <a16:creationId xmlns:a16="http://schemas.microsoft.com/office/drawing/2014/main" id="{00000000-0008-0000-0200-0000F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266</xdr:row>
          <xdr:rowOff>19050</xdr:rowOff>
        </xdr:from>
        <xdr:to>
          <xdr:col>8</xdr:col>
          <xdr:colOff>19050</xdr:colOff>
          <xdr:row>266</xdr:row>
          <xdr:rowOff>209550</xdr:rowOff>
        </xdr:to>
        <xdr:sp macro="" textlink="">
          <xdr:nvSpPr>
            <xdr:cNvPr id="1535" name="Check Box 511" hidden="1">
              <a:extLst>
                <a:ext uri="{63B3BB69-23CF-44E3-9099-C40C66FF867C}">
                  <a14:compatExt spid="_x0000_s1535"/>
                </a:ext>
                <a:ext uri="{FF2B5EF4-FFF2-40B4-BE49-F238E27FC236}">
                  <a16:creationId xmlns:a16="http://schemas.microsoft.com/office/drawing/2014/main" id="{00000000-0008-0000-0200-0000FF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271</xdr:row>
          <xdr:rowOff>28575</xdr:rowOff>
        </xdr:from>
        <xdr:to>
          <xdr:col>12</xdr:col>
          <xdr:colOff>0</xdr:colOff>
          <xdr:row>271</xdr:row>
          <xdr:rowOff>28575</xdr:rowOff>
        </xdr:to>
        <xdr:sp macro="" textlink="">
          <xdr:nvSpPr>
            <xdr:cNvPr id="1536" name="Check Box 512" hidden="1">
              <a:extLst>
                <a:ext uri="{63B3BB69-23CF-44E3-9099-C40C66FF867C}">
                  <a14:compatExt spid="_x0000_s1536"/>
                </a:ext>
                <a:ext uri="{FF2B5EF4-FFF2-40B4-BE49-F238E27FC236}">
                  <a16:creationId xmlns:a16="http://schemas.microsoft.com/office/drawing/2014/main" id="{00000000-0008-0000-0200-000000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272</xdr:row>
          <xdr:rowOff>28575</xdr:rowOff>
        </xdr:from>
        <xdr:to>
          <xdr:col>12</xdr:col>
          <xdr:colOff>0</xdr:colOff>
          <xdr:row>272</xdr:row>
          <xdr:rowOff>28575</xdr:rowOff>
        </xdr:to>
        <xdr:sp macro="" textlink="">
          <xdr:nvSpPr>
            <xdr:cNvPr id="1537" name="Check Box 513" hidden="1">
              <a:extLst>
                <a:ext uri="{63B3BB69-23CF-44E3-9099-C40C66FF867C}">
                  <a14:compatExt spid="_x0000_s1537"/>
                </a:ext>
                <a:ext uri="{FF2B5EF4-FFF2-40B4-BE49-F238E27FC236}">
                  <a16:creationId xmlns:a16="http://schemas.microsoft.com/office/drawing/2014/main" id="{00000000-0008-0000-0200-000001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273</xdr:row>
          <xdr:rowOff>28575</xdr:rowOff>
        </xdr:from>
        <xdr:to>
          <xdr:col>12</xdr:col>
          <xdr:colOff>0</xdr:colOff>
          <xdr:row>273</xdr:row>
          <xdr:rowOff>28575</xdr:rowOff>
        </xdr:to>
        <xdr:sp macro="" textlink="">
          <xdr:nvSpPr>
            <xdr:cNvPr id="1538" name="Check Box 514" hidden="1">
              <a:extLst>
                <a:ext uri="{63B3BB69-23CF-44E3-9099-C40C66FF867C}">
                  <a14:compatExt spid="_x0000_s1538"/>
                </a:ext>
                <a:ext uri="{FF2B5EF4-FFF2-40B4-BE49-F238E27FC236}">
                  <a16:creationId xmlns:a16="http://schemas.microsoft.com/office/drawing/2014/main" id="{00000000-0008-0000-0200-000002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274</xdr:row>
          <xdr:rowOff>28575</xdr:rowOff>
        </xdr:from>
        <xdr:to>
          <xdr:col>12</xdr:col>
          <xdr:colOff>0</xdr:colOff>
          <xdr:row>274</xdr:row>
          <xdr:rowOff>28575</xdr:rowOff>
        </xdr:to>
        <xdr:sp macro="" textlink="">
          <xdr:nvSpPr>
            <xdr:cNvPr id="1539" name="Check Box 515" hidden="1">
              <a:extLst>
                <a:ext uri="{63B3BB69-23CF-44E3-9099-C40C66FF867C}">
                  <a14:compatExt spid="_x0000_s1539"/>
                </a:ext>
                <a:ext uri="{FF2B5EF4-FFF2-40B4-BE49-F238E27FC236}">
                  <a16:creationId xmlns:a16="http://schemas.microsoft.com/office/drawing/2014/main" id="{00000000-0008-0000-0200-000003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275</xdr:row>
          <xdr:rowOff>28575</xdr:rowOff>
        </xdr:from>
        <xdr:to>
          <xdr:col>12</xdr:col>
          <xdr:colOff>0</xdr:colOff>
          <xdr:row>275</xdr:row>
          <xdr:rowOff>28575</xdr:rowOff>
        </xdr:to>
        <xdr:sp macro="" textlink="">
          <xdr:nvSpPr>
            <xdr:cNvPr id="1540" name="Check Box 516" hidden="1">
              <a:extLst>
                <a:ext uri="{63B3BB69-23CF-44E3-9099-C40C66FF867C}">
                  <a14:compatExt spid="_x0000_s1540"/>
                </a:ext>
                <a:ext uri="{FF2B5EF4-FFF2-40B4-BE49-F238E27FC236}">
                  <a16:creationId xmlns:a16="http://schemas.microsoft.com/office/drawing/2014/main" id="{00000000-0008-0000-0200-000004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276</xdr:row>
          <xdr:rowOff>28575</xdr:rowOff>
        </xdr:from>
        <xdr:to>
          <xdr:col>12</xdr:col>
          <xdr:colOff>0</xdr:colOff>
          <xdr:row>276</xdr:row>
          <xdr:rowOff>28575</xdr:rowOff>
        </xdr:to>
        <xdr:sp macro="" textlink="">
          <xdr:nvSpPr>
            <xdr:cNvPr id="1541" name="Check Box 517" hidden="1">
              <a:extLst>
                <a:ext uri="{63B3BB69-23CF-44E3-9099-C40C66FF867C}">
                  <a14:compatExt spid="_x0000_s1541"/>
                </a:ext>
                <a:ext uri="{FF2B5EF4-FFF2-40B4-BE49-F238E27FC236}">
                  <a16:creationId xmlns:a16="http://schemas.microsoft.com/office/drawing/2014/main" id="{00000000-0008-0000-0200-000005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277</xdr:row>
          <xdr:rowOff>28575</xdr:rowOff>
        </xdr:from>
        <xdr:to>
          <xdr:col>12</xdr:col>
          <xdr:colOff>0</xdr:colOff>
          <xdr:row>277</xdr:row>
          <xdr:rowOff>28575</xdr:rowOff>
        </xdr:to>
        <xdr:sp macro="" textlink="">
          <xdr:nvSpPr>
            <xdr:cNvPr id="1542" name="Check Box 518" hidden="1">
              <a:extLst>
                <a:ext uri="{63B3BB69-23CF-44E3-9099-C40C66FF867C}">
                  <a14:compatExt spid="_x0000_s1542"/>
                </a:ext>
                <a:ext uri="{FF2B5EF4-FFF2-40B4-BE49-F238E27FC236}">
                  <a16:creationId xmlns:a16="http://schemas.microsoft.com/office/drawing/2014/main" id="{00000000-0008-0000-0200-000006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278</xdr:row>
          <xdr:rowOff>28575</xdr:rowOff>
        </xdr:from>
        <xdr:to>
          <xdr:col>12</xdr:col>
          <xdr:colOff>0</xdr:colOff>
          <xdr:row>278</xdr:row>
          <xdr:rowOff>28575</xdr:rowOff>
        </xdr:to>
        <xdr:sp macro="" textlink="">
          <xdr:nvSpPr>
            <xdr:cNvPr id="1543" name="Check Box 519" hidden="1">
              <a:extLst>
                <a:ext uri="{63B3BB69-23CF-44E3-9099-C40C66FF867C}">
                  <a14:compatExt spid="_x0000_s1543"/>
                </a:ext>
                <a:ext uri="{FF2B5EF4-FFF2-40B4-BE49-F238E27FC236}">
                  <a16:creationId xmlns:a16="http://schemas.microsoft.com/office/drawing/2014/main" id="{00000000-0008-0000-0200-000007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279</xdr:row>
          <xdr:rowOff>28575</xdr:rowOff>
        </xdr:from>
        <xdr:to>
          <xdr:col>12</xdr:col>
          <xdr:colOff>0</xdr:colOff>
          <xdr:row>279</xdr:row>
          <xdr:rowOff>28575</xdr:rowOff>
        </xdr:to>
        <xdr:sp macro="" textlink="">
          <xdr:nvSpPr>
            <xdr:cNvPr id="1544" name="Check Box 520" hidden="1">
              <a:extLst>
                <a:ext uri="{63B3BB69-23CF-44E3-9099-C40C66FF867C}">
                  <a14:compatExt spid="_x0000_s1544"/>
                </a:ext>
                <a:ext uri="{FF2B5EF4-FFF2-40B4-BE49-F238E27FC236}">
                  <a16:creationId xmlns:a16="http://schemas.microsoft.com/office/drawing/2014/main" id="{00000000-0008-0000-0200-000008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280</xdr:row>
          <xdr:rowOff>28575</xdr:rowOff>
        </xdr:from>
        <xdr:to>
          <xdr:col>12</xdr:col>
          <xdr:colOff>0</xdr:colOff>
          <xdr:row>280</xdr:row>
          <xdr:rowOff>28575</xdr:rowOff>
        </xdr:to>
        <xdr:sp macro="" textlink="">
          <xdr:nvSpPr>
            <xdr:cNvPr id="1545" name="Check Box 521" hidden="1">
              <a:extLst>
                <a:ext uri="{63B3BB69-23CF-44E3-9099-C40C66FF867C}">
                  <a14:compatExt spid="_x0000_s1545"/>
                </a:ext>
                <a:ext uri="{FF2B5EF4-FFF2-40B4-BE49-F238E27FC236}">
                  <a16:creationId xmlns:a16="http://schemas.microsoft.com/office/drawing/2014/main" id="{00000000-0008-0000-0200-000009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281</xdr:row>
          <xdr:rowOff>28575</xdr:rowOff>
        </xdr:from>
        <xdr:to>
          <xdr:col>12</xdr:col>
          <xdr:colOff>0</xdr:colOff>
          <xdr:row>281</xdr:row>
          <xdr:rowOff>28575</xdr:rowOff>
        </xdr:to>
        <xdr:sp macro="" textlink="">
          <xdr:nvSpPr>
            <xdr:cNvPr id="1546" name="Check Box 522" hidden="1">
              <a:extLst>
                <a:ext uri="{63B3BB69-23CF-44E3-9099-C40C66FF867C}">
                  <a14:compatExt spid="_x0000_s1546"/>
                </a:ext>
                <a:ext uri="{FF2B5EF4-FFF2-40B4-BE49-F238E27FC236}">
                  <a16:creationId xmlns:a16="http://schemas.microsoft.com/office/drawing/2014/main" id="{00000000-0008-0000-0200-00000A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282</xdr:row>
          <xdr:rowOff>28575</xdr:rowOff>
        </xdr:from>
        <xdr:to>
          <xdr:col>12</xdr:col>
          <xdr:colOff>0</xdr:colOff>
          <xdr:row>282</xdr:row>
          <xdr:rowOff>28575</xdr:rowOff>
        </xdr:to>
        <xdr:sp macro="" textlink="">
          <xdr:nvSpPr>
            <xdr:cNvPr id="1547" name="Check Box 523" hidden="1">
              <a:extLst>
                <a:ext uri="{63B3BB69-23CF-44E3-9099-C40C66FF867C}">
                  <a14:compatExt spid="_x0000_s1547"/>
                </a:ext>
                <a:ext uri="{FF2B5EF4-FFF2-40B4-BE49-F238E27FC236}">
                  <a16:creationId xmlns:a16="http://schemas.microsoft.com/office/drawing/2014/main" id="{00000000-0008-0000-0200-00000B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283</xdr:row>
          <xdr:rowOff>28575</xdr:rowOff>
        </xdr:from>
        <xdr:to>
          <xdr:col>12</xdr:col>
          <xdr:colOff>0</xdr:colOff>
          <xdr:row>283</xdr:row>
          <xdr:rowOff>28575</xdr:rowOff>
        </xdr:to>
        <xdr:sp macro="" textlink="">
          <xdr:nvSpPr>
            <xdr:cNvPr id="1548" name="Check Box 524" hidden="1">
              <a:extLst>
                <a:ext uri="{63B3BB69-23CF-44E3-9099-C40C66FF867C}">
                  <a14:compatExt spid="_x0000_s1548"/>
                </a:ext>
                <a:ext uri="{FF2B5EF4-FFF2-40B4-BE49-F238E27FC236}">
                  <a16:creationId xmlns:a16="http://schemas.microsoft.com/office/drawing/2014/main" id="{00000000-0008-0000-0200-00000C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284</xdr:row>
          <xdr:rowOff>28575</xdr:rowOff>
        </xdr:from>
        <xdr:to>
          <xdr:col>12</xdr:col>
          <xdr:colOff>0</xdr:colOff>
          <xdr:row>284</xdr:row>
          <xdr:rowOff>28575</xdr:rowOff>
        </xdr:to>
        <xdr:sp macro="" textlink="">
          <xdr:nvSpPr>
            <xdr:cNvPr id="1549" name="Check Box 525" hidden="1">
              <a:extLst>
                <a:ext uri="{63B3BB69-23CF-44E3-9099-C40C66FF867C}">
                  <a14:compatExt spid="_x0000_s1549"/>
                </a:ext>
                <a:ext uri="{FF2B5EF4-FFF2-40B4-BE49-F238E27FC236}">
                  <a16:creationId xmlns:a16="http://schemas.microsoft.com/office/drawing/2014/main" id="{00000000-0008-0000-0200-00000D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285</xdr:row>
          <xdr:rowOff>28575</xdr:rowOff>
        </xdr:from>
        <xdr:to>
          <xdr:col>12</xdr:col>
          <xdr:colOff>0</xdr:colOff>
          <xdr:row>285</xdr:row>
          <xdr:rowOff>28575</xdr:rowOff>
        </xdr:to>
        <xdr:sp macro="" textlink="">
          <xdr:nvSpPr>
            <xdr:cNvPr id="1550" name="Check Box 526" hidden="1">
              <a:extLst>
                <a:ext uri="{63B3BB69-23CF-44E3-9099-C40C66FF867C}">
                  <a14:compatExt spid="_x0000_s1550"/>
                </a:ext>
                <a:ext uri="{FF2B5EF4-FFF2-40B4-BE49-F238E27FC236}">
                  <a16:creationId xmlns:a16="http://schemas.microsoft.com/office/drawing/2014/main" id="{00000000-0008-0000-0200-00000E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286</xdr:row>
          <xdr:rowOff>28575</xdr:rowOff>
        </xdr:from>
        <xdr:to>
          <xdr:col>12</xdr:col>
          <xdr:colOff>0</xdr:colOff>
          <xdr:row>286</xdr:row>
          <xdr:rowOff>28575</xdr:rowOff>
        </xdr:to>
        <xdr:sp macro="" textlink="">
          <xdr:nvSpPr>
            <xdr:cNvPr id="1551" name="Check Box 527" hidden="1">
              <a:extLst>
                <a:ext uri="{63B3BB69-23CF-44E3-9099-C40C66FF867C}">
                  <a14:compatExt spid="_x0000_s1551"/>
                </a:ext>
                <a:ext uri="{FF2B5EF4-FFF2-40B4-BE49-F238E27FC236}">
                  <a16:creationId xmlns:a16="http://schemas.microsoft.com/office/drawing/2014/main" id="{00000000-0008-0000-0200-00000F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287</xdr:row>
          <xdr:rowOff>28575</xdr:rowOff>
        </xdr:from>
        <xdr:to>
          <xdr:col>12</xdr:col>
          <xdr:colOff>0</xdr:colOff>
          <xdr:row>287</xdr:row>
          <xdr:rowOff>28575</xdr:rowOff>
        </xdr:to>
        <xdr:sp macro="" textlink="">
          <xdr:nvSpPr>
            <xdr:cNvPr id="1552" name="Check Box 528" hidden="1">
              <a:extLst>
                <a:ext uri="{63B3BB69-23CF-44E3-9099-C40C66FF867C}">
                  <a14:compatExt spid="_x0000_s1552"/>
                </a:ext>
                <a:ext uri="{FF2B5EF4-FFF2-40B4-BE49-F238E27FC236}">
                  <a16:creationId xmlns:a16="http://schemas.microsoft.com/office/drawing/2014/main" id="{00000000-0008-0000-0200-000010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288</xdr:row>
          <xdr:rowOff>28575</xdr:rowOff>
        </xdr:from>
        <xdr:to>
          <xdr:col>12</xdr:col>
          <xdr:colOff>0</xdr:colOff>
          <xdr:row>288</xdr:row>
          <xdr:rowOff>28575</xdr:rowOff>
        </xdr:to>
        <xdr:sp macro="" textlink="">
          <xdr:nvSpPr>
            <xdr:cNvPr id="1553" name="Check Box 529" hidden="1">
              <a:extLst>
                <a:ext uri="{63B3BB69-23CF-44E3-9099-C40C66FF867C}">
                  <a14:compatExt spid="_x0000_s1553"/>
                </a:ext>
                <a:ext uri="{FF2B5EF4-FFF2-40B4-BE49-F238E27FC236}">
                  <a16:creationId xmlns:a16="http://schemas.microsoft.com/office/drawing/2014/main" id="{00000000-0008-0000-0200-000011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289</xdr:row>
          <xdr:rowOff>28575</xdr:rowOff>
        </xdr:from>
        <xdr:to>
          <xdr:col>12</xdr:col>
          <xdr:colOff>0</xdr:colOff>
          <xdr:row>289</xdr:row>
          <xdr:rowOff>28575</xdr:rowOff>
        </xdr:to>
        <xdr:sp macro="" textlink="">
          <xdr:nvSpPr>
            <xdr:cNvPr id="1554" name="Check Box 530" hidden="1">
              <a:extLst>
                <a:ext uri="{63B3BB69-23CF-44E3-9099-C40C66FF867C}">
                  <a14:compatExt spid="_x0000_s1554"/>
                </a:ext>
                <a:ext uri="{FF2B5EF4-FFF2-40B4-BE49-F238E27FC236}">
                  <a16:creationId xmlns:a16="http://schemas.microsoft.com/office/drawing/2014/main" id="{00000000-0008-0000-0200-000012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296</xdr:row>
          <xdr:rowOff>28575</xdr:rowOff>
        </xdr:from>
        <xdr:to>
          <xdr:col>12</xdr:col>
          <xdr:colOff>0</xdr:colOff>
          <xdr:row>296</xdr:row>
          <xdr:rowOff>28575</xdr:rowOff>
        </xdr:to>
        <xdr:sp macro="" textlink="">
          <xdr:nvSpPr>
            <xdr:cNvPr id="1556" name="Check Box 532" hidden="1">
              <a:extLst>
                <a:ext uri="{63B3BB69-23CF-44E3-9099-C40C66FF867C}">
                  <a14:compatExt spid="_x0000_s1556"/>
                </a:ext>
                <a:ext uri="{FF2B5EF4-FFF2-40B4-BE49-F238E27FC236}">
                  <a16:creationId xmlns:a16="http://schemas.microsoft.com/office/drawing/2014/main" id="{00000000-0008-0000-0200-000014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295</xdr:row>
          <xdr:rowOff>19050</xdr:rowOff>
        </xdr:from>
        <xdr:to>
          <xdr:col>8</xdr:col>
          <xdr:colOff>19050</xdr:colOff>
          <xdr:row>295</xdr:row>
          <xdr:rowOff>209550</xdr:rowOff>
        </xdr:to>
        <xdr:sp macro="" textlink="">
          <xdr:nvSpPr>
            <xdr:cNvPr id="1557" name="Check Box 533" hidden="1">
              <a:extLst>
                <a:ext uri="{63B3BB69-23CF-44E3-9099-C40C66FF867C}">
                  <a14:compatExt spid="_x0000_s1557"/>
                </a:ext>
                <a:ext uri="{FF2B5EF4-FFF2-40B4-BE49-F238E27FC236}">
                  <a16:creationId xmlns:a16="http://schemas.microsoft.com/office/drawing/2014/main" id="{00000000-0008-0000-0200-000015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326</xdr:row>
          <xdr:rowOff>28575</xdr:rowOff>
        </xdr:from>
        <xdr:to>
          <xdr:col>12</xdr:col>
          <xdr:colOff>0</xdr:colOff>
          <xdr:row>326</xdr:row>
          <xdr:rowOff>28575</xdr:rowOff>
        </xdr:to>
        <xdr:sp macro="" textlink="">
          <xdr:nvSpPr>
            <xdr:cNvPr id="1558" name="Check Box 534" hidden="1">
              <a:extLst>
                <a:ext uri="{63B3BB69-23CF-44E3-9099-C40C66FF867C}">
                  <a14:compatExt spid="_x0000_s1558"/>
                </a:ext>
                <a:ext uri="{FF2B5EF4-FFF2-40B4-BE49-F238E27FC236}">
                  <a16:creationId xmlns:a16="http://schemas.microsoft.com/office/drawing/2014/main" id="{00000000-0008-0000-0200-000016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325</xdr:row>
          <xdr:rowOff>19050</xdr:rowOff>
        </xdr:from>
        <xdr:to>
          <xdr:col>8</xdr:col>
          <xdr:colOff>19050</xdr:colOff>
          <xdr:row>325</xdr:row>
          <xdr:rowOff>209550</xdr:rowOff>
        </xdr:to>
        <xdr:sp macro="" textlink="">
          <xdr:nvSpPr>
            <xdr:cNvPr id="1559" name="Check Box 535" hidden="1">
              <a:extLst>
                <a:ext uri="{63B3BB69-23CF-44E3-9099-C40C66FF867C}">
                  <a14:compatExt spid="_x0000_s1559"/>
                </a:ext>
                <a:ext uri="{FF2B5EF4-FFF2-40B4-BE49-F238E27FC236}">
                  <a16:creationId xmlns:a16="http://schemas.microsoft.com/office/drawing/2014/main" id="{00000000-0008-0000-0200-000017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357</xdr:row>
          <xdr:rowOff>28575</xdr:rowOff>
        </xdr:from>
        <xdr:to>
          <xdr:col>12</xdr:col>
          <xdr:colOff>0</xdr:colOff>
          <xdr:row>357</xdr:row>
          <xdr:rowOff>28575</xdr:rowOff>
        </xdr:to>
        <xdr:sp macro="" textlink="">
          <xdr:nvSpPr>
            <xdr:cNvPr id="1560" name="Check Box 536" hidden="1">
              <a:extLst>
                <a:ext uri="{63B3BB69-23CF-44E3-9099-C40C66FF867C}">
                  <a14:compatExt spid="_x0000_s1560"/>
                </a:ext>
                <a:ext uri="{FF2B5EF4-FFF2-40B4-BE49-F238E27FC236}">
                  <a16:creationId xmlns:a16="http://schemas.microsoft.com/office/drawing/2014/main" id="{00000000-0008-0000-0200-000018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356</xdr:row>
          <xdr:rowOff>19050</xdr:rowOff>
        </xdr:from>
        <xdr:to>
          <xdr:col>8</xdr:col>
          <xdr:colOff>19050</xdr:colOff>
          <xdr:row>356</xdr:row>
          <xdr:rowOff>209550</xdr:rowOff>
        </xdr:to>
        <xdr:sp macro="" textlink="">
          <xdr:nvSpPr>
            <xdr:cNvPr id="1561" name="Check Box 537" hidden="1">
              <a:extLst>
                <a:ext uri="{63B3BB69-23CF-44E3-9099-C40C66FF867C}">
                  <a14:compatExt spid="_x0000_s1561"/>
                </a:ext>
                <a:ext uri="{FF2B5EF4-FFF2-40B4-BE49-F238E27FC236}">
                  <a16:creationId xmlns:a16="http://schemas.microsoft.com/office/drawing/2014/main" id="{00000000-0008-0000-0200-000019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324</xdr:row>
          <xdr:rowOff>28575</xdr:rowOff>
        </xdr:from>
        <xdr:to>
          <xdr:col>12</xdr:col>
          <xdr:colOff>0</xdr:colOff>
          <xdr:row>324</xdr:row>
          <xdr:rowOff>28575</xdr:rowOff>
        </xdr:to>
        <xdr:sp macro="" textlink="">
          <xdr:nvSpPr>
            <xdr:cNvPr id="1562" name="Check Box 538" hidden="1">
              <a:extLst>
                <a:ext uri="{63B3BB69-23CF-44E3-9099-C40C66FF867C}">
                  <a14:compatExt spid="_x0000_s1562"/>
                </a:ext>
                <a:ext uri="{FF2B5EF4-FFF2-40B4-BE49-F238E27FC236}">
                  <a16:creationId xmlns:a16="http://schemas.microsoft.com/office/drawing/2014/main" id="{00000000-0008-0000-0200-00001A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323</xdr:row>
          <xdr:rowOff>19050</xdr:rowOff>
        </xdr:from>
        <xdr:to>
          <xdr:col>8</xdr:col>
          <xdr:colOff>19050</xdr:colOff>
          <xdr:row>323</xdr:row>
          <xdr:rowOff>209550</xdr:rowOff>
        </xdr:to>
        <xdr:sp macro="" textlink="">
          <xdr:nvSpPr>
            <xdr:cNvPr id="1563" name="Check Box 539" hidden="1">
              <a:extLst>
                <a:ext uri="{63B3BB69-23CF-44E3-9099-C40C66FF867C}">
                  <a14:compatExt spid="_x0000_s1563"/>
                </a:ext>
                <a:ext uri="{FF2B5EF4-FFF2-40B4-BE49-F238E27FC236}">
                  <a16:creationId xmlns:a16="http://schemas.microsoft.com/office/drawing/2014/main" id="{00000000-0008-0000-0200-00001B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355</xdr:row>
          <xdr:rowOff>28575</xdr:rowOff>
        </xdr:from>
        <xdr:to>
          <xdr:col>12</xdr:col>
          <xdr:colOff>0</xdr:colOff>
          <xdr:row>355</xdr:row>
          <xdr:rowOff>28575</xdr:rowOff>
        </xdr:to>
        <xdr:sp macro="" textlink="">
          <xdr:nvSpPr>
            <xdr:cNvPr id="1564" name="Check Box 540" hidden="1">
              <a:extLst>
                <a:ext uri="{63B3BB69-23CF-44E3-9099-C40C66FF867C}">
                  <a14:compatExt spid="_x0000_s1564"/>
                </a:ext>
                <a:ext uri="{FF2B5EF4-FFF2-40B4-BE49-F238E27FC236}">
                  <a16:creationId xmlns:a16="http://schemas.microsoft.com/office/drawing/2014/main" id="{00000000-0008-0000-0200-00001C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354</xdr:row>
          <xdr:rowOff>19050</xdr:rowOff>
        </xdr:from>
        <xdr:to>
          <xdr:col>8</xdr:col>
          <xdr:colOff>19050</xdr:colOff>
          <xdr:row>354</xdr:row>
          <xdr:rowOff>209550</xdr:rowOff>
        </xdr:to>
        <xdr:sp macro="" textlink="">
          <xdr:nvSpPr>
            <xdr:cNvPr id="1565" name="Check Box 541" hidden="1">
              <a:extLst>
                <a:ext uri="{63B3BB69-23CF-44E3-9099-C40C66FF867C}">
                  <a14:compatExt spid="_x0000_s1565"/>
                </a:ext>
                <a:ext uri="{FF2B5EF4-FFF2-40B4-BE49-F238E27FC236}">
                  <a16:creationId xmlns:a16="http://schemas.microsoft.com/office/drawing/2014/main" id="{00000000-0008-0000-0200-00001D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353</xdr:row>
          <xdr:rowOff>28575</xdr:rowOff>
        </xdr:from>
        <xdr:to>
          <xdr:col>12</xdr:col>
          <xdr:colOff>0</xdr:colOff>
          <xdr:row>353</xdr:row>
          <xdr:rowOff>28575</xdr:rowOff>
        </xdr:to>
        <xdr:sp macro="" textlink="">
          <xdr:nvSpPr>
            <xdr:cNvPr id="1566" name="Check Box 542" hidden="1">
              <a:extLst>
                <a:ext uri="{63B3BB69-23CF-44E3-9099-C40C66FF867C}">
                  <a14:compatExt spid="_x0000_s1566"/>
                </a:ext>
                <a:ext uri="{FF2B5EF4-FFF2-40B4-BE49-F238E27FC236}">
                  <a16:creationId xmlns:a16="http://schemas.microsoft.com/office/drawing/2014/main" id="{00000000-0008-0000-0200-00001E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352</xdr:row>
          <xdr:rowOff>19050</xdr:rowOff>
        </xdr:from>
        <xdr:to>
          <xdr:col>8</xdr:col>
          <xdr:colOff>19050</xdr:colOff>
          <xdr:row>352</xdr:row>
          <xdr:rowOff>209550</xdr:rowOff>
        </xdr:to>
        <xdr:sp macro="" textlink="">
          <xdr:nvSpPr>
            <xdr:cNvPr id="1567" name="Check Box 543" hidden="1">
              <a:extLst>
                <a:ext uri="{63B3BB69-23CF-44E3-9099-C40C66FF867C}">
                  <a14:compatExt spid="_x0000_s1567"/>
                </a:ext>
                <a:ext uri="{FF2B5EF4-FFF2-40B4-BE49-F238E27FC236}">
                  <a16:creationId xmlns:a16="http://schemas.microsoft.com/office/drawing/2014/main" id="{00000000-0008-0000-0200-00001F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324</xdr:row>
          <xdr:rowOff>28575</xdr:rowOff>
        </xdr:from>
        <xdr:to>
          <xdr:col>12</xdr:col>
          <xdr:colOff>0</xdr:colOff>
          <xdr:row>324</xdr:row>
          <xdr:rowOff>28575</xdr:rowOff>
        </xdr:to>
        <xdr:sp macro="" textlink="">
          <xdr:nvSpPr>
            <xdr:cNvPr id="1568" name="Check Box 544" hidden="1">
              <a:extLst>
                <a:ext uri="{63B3BB69-23CF-44E3-9099-C40C66FF867C}">
                  <a14:compatExt spid="_x0000_s1568"/>
                </a:ext>
                <a:ext uri="{FF2B5EF4-FFF2-40B4-BE49-F238E27FC236}">
                  <a16:creationId xmlns:a16="http://schemas.microsoft.com/office/drawing/2014/main" id="{00000000-0008-0000-0200-000020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323</xdr:row>
          <xdr:rowOff>19050</xdr:rowOff>
        </xdr:from>
        <xdr:to>
          <xdr:col>8</xdr:col>
          <xdr:colOff>19050</xdr:colOff>
          <xdr:row>323</xdr:row>
          <xdr:rowOff>209550</xdr:rowOff>
        </xdr:to>
        <xdr:sp macro="" textlink="">
          <xdr:nvSpPr>
            <xdr:cNvPr id="1569" name="Check Box 545" hidden="1">
              <a:extLst>
                <a:ext uri="{63B3BB69-23CF-44E3-9099-C40C66FF867C}">
                  <a14:compatExt spid="_x0000_s1569"/>
                </a:ext>
                <a:ext uri="{FF2B5EF4-FFF2-40B4-BE49-F238E27FC236}">
                  <a16:creationId xmlns:a16="http://schemas.microsoft.com/office/drawing/2014/main" id="{00000000-0008-0000-0200-000021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4</xdr:col>
      <xdr:colOff>28574</xdr:colOff>
      <xdr:row>291</xdr:row>
      <xdr:rowOff>47625</xdr:rowOff>
    </xdr:from>
    <xdr:ext cx="6612657" cy="752475"/>
    <xdr:pic>
      <xdr:nvPicPr>
        <xdr:cNvPr id="299" name="Picture 298">
          <a:extLst>
            <a:ext uri="{FF2B5EF4-FFF2-40B4-BE49-F238E27FC236}">
              <a16:creationId xmlns:a16="http://schemas.microsoft.com/office/drawing/2014/main" id="{00000000-0008-0000-0200-00002B01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35503" y="66083089"/>
          <a:ext cx="6612657" cy="752475"/>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12</xdr:col>
          <xdr:colOff>0</xdr:colOff>
          <xdr:row>296</xdr:row>
          <xdr:rowOff>28575</xdr:rowOff>
        </xdr:from>
        <xdr:to>
          <xdr:col>12</xdr:col>
          <xdr:colOff>0</xdr:colOff>
          <xdr:row>296</xdr:row>
          <xdr:rowOff>28575</xdr:rowOff>
        </xdr:to>
        <xdr:sp macro="" textlink="">
          <xdr:nvSpPr>
            <xdr:cNvPr id="1570" name="Check Box 546" hidden="1">
              <a:extLst>
                <a:ext uri="{63B3BB69-23CF-44E3-9099-C40C66FF867C}">
                  <a14:compatExt spid="_x0000_s1570"/>
                </a:ext>
                <a:ext uri="{FF2B5EF4-FFF2-40B4-BE49-F238E27FC236}">
                  <a16:creationId xmlns:a16="http://schemas.microsoft.com/office/drawing/2014/main" id="{00000000-0008-0000-0200-000022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295</xdr:row>
          <xdr:rowOff>19050</xdr:rowOff>
        </xdr:from>
        <xdr:to>
          <xdr:col>8</xdr:col>
          <xdr:colOff>19050</xdr:colOff>
          <xdr:row>295</xdr:row>
          <xdr:rowOff>209550</xdr:rowOff>
        </xdr:to>
        <xdr:sp macro="" textlink="">
          <xdr:nvSpPr>
            <xdr:cNvPr id="1571" name="Check Box 547" hidden="1">
              <a:extLst>
                <a:ext uri="{63B3BB69-23CF-44E3-9099-C40C66FF867C}">
                  <a14:compatExt spid="_x0000_s1571"/>
                </a:ext>
                <a:ext uri="{FF2B5EF4-FFF2-40B4-BE49-F238E27FC236}">
                  <a16:creationId xmlns:a16="http://schemas.microsoft.com/office/drawing/2014/main" id="{00000000-0008-0000-0200-000023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325</xdr:row>
          <xdr:rowOff>28575</xdr:rowOff>
        </xdr:from>
        <xdr:to>
          <xdr:col>12</xdr:col>
          <xdr:colOff>0</xdr:colOff>
          <xdr:row>325</xdr:row>
          <xdr:rowOff>28575</xdr:rowOff>
        </xdr:to>
        <xdr:sp macro="" textlink="">
          <xdr:nvSpPr>
            <xdr:cNvPr id="1572" name="Check Box 548" hidden="1">
              <a:extLst>
                <a:ext uri="{63B3BB69-23CF-44E3-9099-C40C66FF867C}">
                  <a14:compatExt spid="_x0000_s1572"/>
                </a:ext>
                <a:ext uri="{FF2B5EF4-FFF2-40B4-BE49-F238E27FC236}">
                  <a16:creationId xmlns:a16="http://schemas.microsoft.com/office/drawing/2014/main" id="{00000000-0008-0000-0200-000024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324</xdr:row>
          <xdr:rowOff>19050</xdr:rowOff>
        </xdr:from>
        <xdr:to>
          <xdr:col>8</xdr:col>
          <xdr:colOff>19050</xdr:colOff>
          <xdr:row>324</xdr:row>
          <xdr:rowOff>209550</xdr:rowOff>
        </xdr:to>
        <xdr:sp macro="" textlink="">
          <xdr:nvSpPr>
            <xdr:cNvPr id="1573" name="Check Box 549" hidden="1">
              <a:extLst>
                <a:ext uri="{63B3BB69-23CF-44E3-9099-C40C66FF867C}">
                  <a14:compatExt spid="_x0000_s1573"/>
                </a:ext>
                <a:ext uri="{FF2B5EF4-FFF2-40B4-BE49-F238E27FC236}">
                  <a16:creationId xmlns:a16="http://schemas.microsoft.com/office/drawing/2014/main" id="{00000000-0008-0000-0200-000025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4</xdr:col>
      <xdr:colOff>28574</xdr:colOff>
      <xdr:row>320</xdr:row>
      <xdr:rowOff>47625</xdr:rowOff>
    </xdr:from>
    <xdr:ext cx="6612657" cy="752475"/>
    <xdr:pic>
      <xdr:nvPicPr>
        <xdr:cNvPr id="304" name="Picture 303">
          <a:extLst>
            <a:ext uri="{FF2B5EF4-FFF2-40B4-BE49-F238E27FC236}">
              <a16:creationId xmlns:a16="http://schemas.microsoft.com/office/drawing/2014/main" id="{00000000-0008-0000-0200-00003001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35503" y="72682554"/>
          <a:ext cx="6612657" cy="752475"/>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12</xdr:col>
          <xdr:colOff>0</xdr:colOff>
          <xdr:row>325</xdr:row>
          <xdr:rowOff>28575</xdr:rowOff>
        </xdr:from>
        <xdr:to>
          <xdr:col>12</xdr:col>
          <xdr:colOff>0</xdr:colOff>
          <xdr:row>325</xdr:row>
          <xdr:rowOff>28575</xdr:rowOff>
        </xdr:to>
        <xdr:sp macro="" textlink="">
          <xdr:nvSpPr>
            <xdr:cNvPr id="1574" name="Check Box 550" hidden="1">
              <a:extLst>
                <a:ext uri="{63B3BB69-23CF-44E3-9099-C40C66FF867C}">
                  <a14:compatExt spid="_x0000_s1574"/>
                </a:ext>
                <a:ext uri="{FF2B5EF4-FFF2-40B4-BE49-F238E27FC236}">
                  <a16:creationId xmlns:a16="http://schemas.microsoft.com/office/drawing/2014/main" id="{00000000-0008-0000-0200-000026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324</xdr:row>
          <xdr:rowOff>19050</xdr:rowOff>
        </xdr:from>
        <xdr:to>
          <xdr:col>8</xdr:col>
          <xdr:colOff>19050</xdr:colOff>
          <xdr:row>324</xdr:row>
          <xdr:rowOff>209550</xdr:rowOff>
        </xdr:to>
        <xdr:sp macro="" textlink="">
          <xdr:nvSpPr>
            <xdr:cNvPr id="1575" name="Check Box 551" hidden="1">
              <a:extLst>
                <a:ext uri="{63B3BB69-23CF-44E3-9099-C40C66FF867C}">
                  <a14:compatExt spid="_x0000_s1575"/>
                </a:ext>
                <a:ext uri="{FF2B5EF4-FFF2-40B4-BE49-F238E27FC236}">
                  <a16:creationId xmlns:a16="http://schemas.microsoft.com/office/drawing/2014/main" id="{00000000-0008-0000-0200-000027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355</xdr:row>
          <xdr:rowOff>28575</xdr:rowOff>
        </xdr:from>
        <xdr:to>
          <xdr:col>12</xdr:col>
          <xdr:colOff>0</xdr:colOff>
          <xdr:row>355</xdr:row>
          <xdr:rowOff>28575</xdr:rowOff>
        </xdr:to>
        <xdr:sp macro="" textlink="">
          <xdr:nvSpPr>
            <xdr:cNvPr id="1576" name="Check Box 552" hidden="1">
              <a:extLst>
                <a:ext uri="{63B3BB69-23CF-44E3-9099-C40C66FF867C}">
                  <a14:compatExt spid="_x0000_s1576"/>
                </a:ext>
                <a:ext uri="{FF2B5EF4-FFF2-40B4-BE49-F238E27FC236}">
                  <a16:creationId xmlns:a16="http://schemas.microsoft.com/office/drawing/2014/main" id="{00000000-0008-0000-0200-000028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354</xdr:row>
          <xdr:rowOff>19050</xdr:rowOff>
        </xdr:from>
        <xdr:to>
          <xdr:col>8</xdr:col>
          <xdr:colOff>19050</xdr:colOff>
          <xdr:row>354</xdr:row>
          <xdr:rowOff>209550</xdr:rowOff>
        </xdr:to>
        <xdr:sp macro="" textlink="">
          <xdr:nvSpPr>
            <xdr:cNvPr id="1577" name="Check Box 553" hidden="1">
              <a:extLst>
                <a:ext uri="{63B3BB69-23CF-44E3-9099-C40C66FF867C}">
                  <a14:compatExt spid="_x0000_s1577"/>
                </a:ext>
                <a:ext uri="{FF2B5EF4-FFF2-40B4-BE49-F238E27FC236}">
                  <a16:creationId xmlns:a16="http://schemas.microsoft.com/office/drawing/2014/main" id="{00000000-0008-0000-0200-000029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353</xdr:row>
          <xdr:rowOff>28575</xdr:rowOff>
        </xdr:from>
        <xdr:to>
          <xdr:col>12</xdr:col>
          <xdr:colOff>0</xdr:colOff>
          <xdr:row>353</xdr:row>
          <xdr:rowOff>28575</xdr:rowOff>
        </xdr:to>
        <xdr:sp macro="" textlink="">
          <xdr:nvSpPr>
            <xdr:cNvPr id="1578" name="Check Box 554" hidden="1">
              <a:extLst>
                <a:ext uri="{63B3BB69-23CF-44E3-9099-C40C66FF867C}">
                  <a14:compatExt spid="_x0000_s1578"/>
                </a:ext>
                <a:ext uri="{FF2B5EF4-FFF2-40B4-BE49-F238E27FC236}">
                  <a16:creationId xmlns:a16="http://schemas.microsoft.com/office/drawing/2014/main" id="{00000000-0008-0000-0200-00002A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352</xdr:row>
          <xdr:rowOff>19050</xdr:rowOff>
        </xdr:from>
        <xdr:to>
          <xdr:col>8</xdr:col>
          <xdr:colOff>19050</xdr:colOff>
          <xdr:row>352</xdr:row>
          <xdr:rowOff>209550</xdr:rowOff>
        </xdr:to>
        <xdr:sp macro="" textlink="">
          <xdr:nvSpPr>
            <xdr:cNvPr id="1579" name="Check Box 555" hidden="1">
              <a:extLst>
                <a:ext uri="{63B3BB69-23CF-44E3-9099-C40C66FF867C}">
                  <a14:compatExt spid="_x0000_s1579"/>
                </a:ext>
                <a:ext uri="{FF2B5EF4-FFF2-40B4-BE49-F238E27FC236}">
                  <a16:creationId xmlns:a16="http://schemas.microsoft.com/office/drawing/2014/main" id="{00000000-0008-0000-0200-00002B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353</xdr:row>
          <xdr:rowOff>28575</xdr:rowOff>
        </xdr:from>
        <xdr:to>
          <xdr:col>12</xdr:col>
          <xdr:colOff>0</xdr:colOff>
          <xdr:row>353</xdr:row>
          <xdr:rowOff>28575</xdr:rowOff>
        </xdr:to>
        <xdr:sp macro="" textlink="">
          <xdr:nvSpPr>
            <xdr:cNvPr id="1580" name="Check Box 556" hidden="1">
              <a:extLst>
                <a:ext uri="{63B3BB69-23CF-44E3-9099-C40C66FF867C}">
                  <a14:compatExt spid="_x0000_s1580"/>
                </a:ext>
                <a:ext uri="{FF2B5EF4-FFF2-40B4-BE49-F238E27FC236}">
                  <a16:creationId xmlns:a16="http://schemas.microsoft.com/office/drawing/2014/main" id="{00000000-0008-0000-0200-00002C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352</xdr:row>
          <xdr:rowOff>19050</xdr:rowOff>
        </xdr:from>
        <xdr:to>
          <xdr:col>8</xdr:col>
          <xdr:colOff>19050</xdr:colOff>
          <xdr:row>352</xdr:row>
          <xdr:rowOff>209550</xdr:rowOff>
        </xdr:to>
        <xdr:sp macro="" textlink="">
          <xdr:nvSpPr>
            <xdr:cNvPr id="1581" name="Check Box 557" hidden="1">
              <a:extLst>
                <a:ext uri="{63B3BB69-23CF-44E3-9099-C40C66FF867C}">
                  <a14:compatExt spid="_x0000_s1581"/>
                </a:ext>
                <a:ext uri="{FF2B5EF4-FFF2-40B4-BE49-F238E27FC236}">
                  <a16:creationId xmlns:a16="http://schemas.microsoft.com/office/drawing/2014/main" id="{00000000-0008-0000-0200-00002D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354</xdr:row>
          <xdr:rowOff>28575</xdr:rowOff>
        </xdr:from>
        <xdr:to>
          <xdr:col>12</xdr:col>
          <xdr:colOff>0</xdr:colOff>
          <xdr:row>354</xdr:row>
          <xdr:rowOff>28575</xdr:rowOff>
        </xdr:to>
        <xdr:sp macro="" textlink="">
          <xdr:nvSpPr>
            <xdr:cNvPr id="1582" name="Check Box 558" hidden="1">
              <a:extLst>
                <a:ext uri="{63B3BB69-23CF-44E3-9099-C40C66FF867C}">
                  <a14:compatExt spid="_x0000_s1582"/>
                </a:ext>
                <a:ext uri="{FF2B5EF4-FFF2-40B4-BE49-F238E27FC236}">
                  <a16:creationId xmlns:a16="http://schemas.microsoft.com/office/drawing/2014/main" id="{00000000-0008-0000-0200-00002E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353</xdr:row>
          <xdr:rowOff>19050</xdr:rowOff>
        </xdr:from>
        <xdr:to>
          <xdr:col>8</xdr:col>
          <xdr:colOff>19050</xdr:colOff>
          <xdr:row>353</xdr:row>
          <xdr:rowOff>209550</xdr:rowOff>
        </xdr:to>
        <xdr:sp macro="" textlink="">
          <xdr:nvSpPr>
            <xdr:cNvPr id="1583" name="Check Box 559" hidden="1">
              <a:extLst>
                <a:ext uri="{63B3BB69-23CF-44E3-9099-C40C66FF867C}">
                  <a14:compatExt spid="_x0000_s1583"/>
                </a:ext>
                <a:ext uri="{FF2B5EF4-FFF2-40B4-BE49-F238E27FC236}">
                  <a16:creationId xmlns:a16="http://schemas.microsoft.com/office/drawing/2014/main" id="{00000000-0008-0000-0200-00002F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4</xdr:col>
      <xdr:colOff>28574</xdr:colOff>
      <xdr:row>349</xdr:row>
      <xdr:rowOff>47625</xdr:rowOff>
    </xdr:from>
    <xdr:ext cx="6612657" cy="752475"/>
    <xdr:pic>
      <xdr:nvPicPr>
        <xdr:cNvPr id="315" name="Picture 314">
          <a:extLst>
            <a:ext uri="{FF2B5EF4-FFF2-40B4-BE49-F238E27FC236}">
              <a16:creationId xmlns:a16="http://schemas.microsoft.com/office/drawing/2014/main" id="{00000000-0008-0000-0200-00003B01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35503" y="79295625"/>
          <a:ext cx="6612657" cy="752475"/>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12</xdr:col>
          <xdr:colOff>0</xdr:colOff>
          <xdr:row>354</xdr:row>
          <xdr:rowOff>28575</xdr:rowOff>
        </xdr:from>
        <xdr:to>
          <xdr:col>12</xdr:col>
          <xdr:colOff>0</xdr:colOff>
          <xdr:row>354</xdr:row>
          <xdr:rowOff>28575</xdr:rowOff>
        </xdr:to>
        <xdr:sp macro="" textlink="">
          <xdr:nvSpPr>
            <xdr:cNvPr id="1584" name="Check Box 560" hidden="1">
              <a:extLst>
                <a:ext uri="{63B3BB69-23CF-44E3-9099-C40C66FF867C}">
                  <a14:compatExt spid="_x0000_s1584"/>
                </a:ext>
                <a:ext uri="{FF2B5EF4-FFF2-40B4-BE49-F238E27FC236}">
                  <a16:creationId xmlns:a16="http://schemas.microsoft.com/office/drawing/2014/main" id="{00000000-0008-0000-0200-000030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353</xdr:row>
          <xdr:rowOff>19050</xdr:rowOff>
        </xdr:from>
        <xdr:to>
          <xdr:col>8</xdr:col>
          <xdr:colOff>19050</xdr:colOff>
          <xdr:row>353</xdr:row>
          <xdr:rowOff>209550</xdr:rowOff>
        </xdr:to>
        <xdr:sp macro="" textlink="">
          <xdr:nvSpPr>
            <xdr:cNvPr id="1585" name="Check Box 561" hidden="1">
              <a:extLst>
                <a:ext uri="{63B3BB69-23CF-44E3-9099-C40C66FF867C}">
                  <a14:compatExt spid="_x0000_s1585"/>
                </a:ext>
                <a:ext uri="{FF2B5EF4-FFF2-40B4-BE49-F238E27FC236}">
                  <a16:creationId xmlns:a16="http://schemas.microsoft.com/office/drawing/2014/main" id="{00000000-0008-0000-0200-000031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358</xdr:row>
          <xdr:rowOff>28575</xdr:rowOff>
        </xdr:from>
        <xdr:to>
          <xdr:col>12</xdr:col>
          <xdr:colOff>0</xdr:colOff>
          <xdr:row>358</xdr:row>
          <xdr:rowOff>28575</xdr:rowOff>
        </xdr:to>
        <xdr:sp macro="" textlink="">
          <xdr:nvSpPr>
            <xdr:cNvPr id="1586" name="Check Box 562" hidden="1">
              <a:extLst>
                <a:ext uri="{63B3BB69-23CF-44E3-9099-C40C66FF867C}">
                  <a14:compatExt spid="_x0000_s1586"/>
                </a:ext>
                <a:ext uri="{FF2B5EF4-FFF2-40B4-BE49-F238E27FC236}">
                  <a16:creationId xmlns:a16="http://schemas.microsoft.com/office/drawing/2014/main" id="{00000000-0008-0000-0200-000032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359</xdr:row>
          <xdr:rowOff>28575</xdr:rowOff>
        </xdr:from>
        <xdr:to>
          <xdr:col>12</xdr:col>
          <xdr:colOff>0</xdr:colOff>
          <xdr:row>359</xdr:row>
          <xdr:rowOff>28575</xdr:rowOff>
        </xdr:to>
        <xdr:sp macro="" textlink="">
          <xdr:nvSpPr>
            <xdr:cNvPr id="1587" name="Check Box 563" hidden="1">
              <a:extLst>
                <a:ext uri="{63B3BB69-23CF-44E3-9099-C40C66FF867C}">
                  <a14:compatExt spid="_x0000_s1587"/>
                </a:ext>
                <a:ext uri="{FF2B5EF4-FFF2-40B4-BE49-F238E27FC236}">
                  <a16:creationId xmlns:a16="http://schemas.microsoft.com/office/drawing/2014/main" id="{00000000-0008-0000-0200-000033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360</xdr:row>
          <xdr:rowOff>28575</xdr:rowOff>
        </xdr:from>
        <xdr:to>
          <xdr:col>12</xdr:col>
          <xdr:colOff>0</xdr:colOff>
          <xdr:row>360</xdr:row>
          <xdr:rowOff>28575</xdr:rowOff>
        </xdr:to>
        <xdr:sp macro="" textlink="">
          <xdr:nvSpPr>
            <xdr:cNvPr id="1588" name="Check Box 564" hidden="1">
              <a:extLst>
                <a:ext uri="{63B3BB69-23CF-44E3-9099-C40C66FF867C}">
                  <a14:compatExt spid="_x0000_s1588"/>
                </a:ext>
                <a:ext uri="{FF2B5EF4-FFF2-40B4-BE49-F238E27FC236}">
                  <a16:creationId xmlns:a16="http://schemas.microsoft.com/office/drawing/2014/main" id="{00000000-0008-0000-0200-000034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361</xdr:row>
          <xdr:rowOff>28575</xdr:rowOff>
        </xdr:from>
        <xdr:to>
          <xdr:col>12</xdr:col>
          <xdr:colOff>0</xdr:colOff>
          <xdr:row>361</xdr:row>
          <xdr:rowOff>28575</xdr:rowOff>
        </xdr:to>
        <xdr:sp macro="" textlink="">
          <xdr:nvSpPr>
            <xdr:cNvPr id="1589" name="Check Box 565" hidden="1">
              <a:extLst>
                <a:ext uri="{63B3BB69-23CF-44E3-9099-C40C66FF867C}">
                  <a14:compatExt spid="_x0000_s1589"/>
                </a:ext>
                <a:ext uri="{FF2B5EF4-FFF2-40B4-BE49-F238E27FC236}">
                  <a16:creationId xmlns:a16="http://schemas.microsoft.com/office/drawing/2014/main" id="{00000000-0008-0000-0200-000035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362</xdr:row>
          <xdr:rowOff>28575</xdr:rowOff>
        </xdr:from>
        <xdr:to>
          <xdr:col>12</xdr:col>
          <xdr:colOff>0</xdr:colOff>
          <xdr:row>362</xdr:row>
          <xdr:rowOff>28575</xdr:rowOff>
        </xdr:to>
        <xdr:sp macro="" textlink="">
          <xdr:nvSpPr>
            <xdr:cNvPr id="1590" name="Check Box 566" hidden="1">
              <a:extLst>
                <a:ext uri="{63B3BB69-23CF-44E3-9099-C40C66FF867C}">
                  <a14:compatExt spid="_x0000_s1590"/>
                </a:ext>
                <a:ext uri="{FF2B5EF4-FFF2-40B4-BE49-F238E27FC236}">
                  <a16:creationId xmlns:a16="http://schemas.microsoft.com/office/drawing/2014/main" id="{00000000-0008-0000-0200-000036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363</xdr:row>
          <xdr:rowOff>28575</xdr:rowOff>
        </xdr:from>
        <xdr:to>
          <xdr:col>12</xdr:col>
          <xdr:colOff>0</xdr:colOff>
          <xdr:row>363</xdr:row>
          <xdr:rowOff>28575</xdr:rowOff>
        </xdr:to>
        <xdr:sp macro="" textlink="">
          <xdr:nvSpPr>
            <xdr:cNvPr id="1591" name="Check Box 567" hidden="1">
              <a:extLst>
                <a:ext uri="{63B3BB69-23CF-44E3-9099-C40C66FF867C}">
                  <a14:compatExt spid="_x0000_s1591"/>
                </a:ext>
                <a:ext uri="{FF2B5EF4-FFF2-40B4-BE49-F238E27FC236}">
                  <a16:creationId xmlns:a16="http://schemas.microsoft.com/office/drawing/2014/main" id="{00000000-0008-0000-0200-000037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364</xdr:row>
          <xdr:rowOff>28575</xdr:rowOff>
        </xdr:from>
        <xdr:to>
          <xdr:col>12</xdr:col>
          <xdr:colOff>0</xdr:colOff>
          <xdr:row>364</xdr:row>
          <xdr:rowOff>28575</xdr:rowOff>
        </xdr:to>
        <xdr:sp macro="" textlink="">
          <xdr:nvSpPr>
            <xdr:cNvPr id="1592" name="Check Box 568" hidden="1">
              <a:extLst>
                <a:ext uri="{63B3BB69-23CF-44E3-9099-C40C66FF867C}">
                  <a14:compatExt spid="_x0000_s1592"/>
                </a:ext>
                <a:ext uri="{FF2B5EF4-FFF2-40B4-BE49-F238E27FC236}">
                  <a16:creationId xmlns:a16="http://schemas.microsoft.com/office/drawing/2014/main" id="{00000000-0008-0000-0200-000038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365</xdr:row>
          <xdr:rowOff>28575</xdr:rowOff>
        </xdr:from>
        <xdr:to>
          <xdr:col>12</xdr:col>
          <xdr:colOff>0</xdr:colOff>
          <xdr:row>365</xdr:row>
          <xdr:rowOff>28575</xdr:rowOff>
        </xdr:to>
        <xdr:sp macro="" textlink="">
          <xdr:nvSpPr>
            <xdr:cNvPr id="1593" name="Check Box 569" hidden="1">
              <a:extLst>
                <a:ext uri="{63B3BB69-23CF-44E3-9099-C40C66FF867C}">
                  <a14:compatExt spid="_x0000_s1593"/>
                </a:ext>
                <a:ext uri="{FF2B5EF4-FFF2-40B4-BE49-F238E27FC236}">
                  <a16:creationId xmlns:a16="http://schemas.microsoft.com/office/drawing/2014/main" id="{00000000-0008-0000-0200-000039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366</xdr:row>
          <xdr:rowOff>28575</xdr:rowOff>
        </xdr:from>
        <xdr:to>
          <xdr:col>12</xdr:col>
          <xdr:colOff>0</xdr:colOff>
          <xdr:row>366</xdr:row>
          <xdr:rowOff>28575</xdr:rowOff>
        </xdr:to>
        <xdr:sp macro="" textlink="">
          <xdr:nvSpPr>
            <xdr:cNvPr id="1594" name="Check Box 570" hidden="1">
              <a:extLst>
                <a:ext uri="{63B3BB69-23CF-44E3-9099-C40C66FF867C}">
                  <a14:compatExt spid="_x0000_s1594"/>
                </a:ext>
                <a:ext uri="{FF2B5EF4-FFF2-40B4-BE49-F238E27FC236}">
                  <a16:creationId xmlns:a16="http://schemas.microsoft.com/office/drawing/2014/main" id="{00000000-0008-0000-0200-00003A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367</xdr:row>
          <xdr:rowOff>28575</xdr:rowOff>
        </xdr:from>
        <xdr:to>
          <xdr:col>12</xdr:col>
          <xdr:colOff>0</xdr:colOff>
          <xdr:row>367</xdr:row>
          <xdr:rowOff>28575</xdr:rowOff>
        </xdr:to>
        <xdr:sp macro="" textlink="">
          <xdr:nvSpPr>
            <xdr:cNvPr id="1595" name="Check Box 571" hidden="1">
              <a:extLst>
                <a:ext uri="{63B3BB69-23CF-44E3-9099-C40C66FF867C}">
                  <a14:compatExt spid="_x0000_s1595"/>
                </a:ext>
                <a:ext uri="{FF2B5EF4-FFF2-40B4-BE49-F238E27FC236}">
                  <a16:creationId xmlns:a16="http://schemas.microsoft.com/office/drawing/2014/main" id="{00000000-0008-0000-0200-00003B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368</xdr:row>
          <xdr:rowOff>28575</xdr:rowOff>
        </xdr:from>
        <xdr:to>
          <xdr:col>12</xdr:col>
          <xdr:colOff>0</xdr:colOff>
          <xdr:row>368</xdr:row>
          <xdr:rowOff>28575</xdr:rowOff>
        </xdr:to>
        <xdr:sp macro="" textlink="">
          <xdr:nvSpPr>
            <xdr:cNvPr id="1596" name="Check Box 572" hidden="1">
              <a:extLst>
                <a:ext uri="{63B3BB69-23CF-44E3-9099-C40C66FF867C}">
                  <a14:compatExt spid="_x0000_s1596"/>
                </a:ext>
                <a:ext uri="{FF2B5EF4-FFF2-40B4-BE49-F238E27FC236}">
                  <a16:creationId xmlns:a16="http://schemas.microsoft.com/office/drawing/2014/main" id="{00000000-0008-0000-0200-00003C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369</xdr:row>
          <xdr:rowOff>28575</xdr:rowOff>
        </xdr:from>
        <xdr:to>
          <xdr:col>12</xdr:col>
          <xdr:colOff>0</xdr:colOff>
          <xdr:row>369</xdr:row>
          <xdr:rowOff>28575</xdr:rowOff>
        </xdr:to>
        <xdr:sp macro="" textlink="">
          <xdr:nvSpPr>
            <xdr:cNvPr id="1597" name="Check Box 573" hidden="1">
              <a:extLst>
                <a:ext uri="{63B3BB69-23CF-44E3-9099-C40C66FF867C}">
                  <a14:compatExt spid="_x0000_s1597"/>
                </a:ext>
                <a:ext uri="{FF2B5EF4-FFF2-40B4-BE49-F238E27FC236}">
                  <a16:creationId xmlns:a16="http://schemas.microsoft.com/office/drawing/2014/main" id="{00000000-0008-0000-0200-00003D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370</xdr:row>
          <xdr:rowOff>28575</xdr:rowOff>
        </xdr:from>
        <xdr:to>
          <xdr:col>12</xdr:col>
          <xdr:colOff>0</xdr:colOff>
          <xdr:row>370</xdr:row>
          <xdr:rowOff>28575</xdr:rowOff>
        </xdr:to>
        <xdr:sp macro="" textlink="">
          <xdr:nvSpPr>
            <xdr:cNvPr id="1598" name="Check Box 574" hidden="1">
              <a:extLst>
                <a:ext uri="{63B3BB69-23CF-44E3-9099-C40C66FF867C}">
                  <a14:compatExt spid="_x0000_s1598"/>
                </a:ext>
                <a:ext uri="{FF2B5EF4-FFF2-40B4-BE49-F238E27FC236}">
                  <a16:creationId xmlns:a16="http://schemas.microsoft.com/office/drawing/2014/main" id="{00000000-0008-0000-0200-00003E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371</xdr:row>
          <xdr:rowOff>28575</xdr:rowOff>
        </xdr:from>
        <xdr:to>
          <xdr:col>12</xdr:col>
          <xdr:colOff>0</xdr:colOff>
          <xdr:row>371</xdr:row>
          <xdr:rowOff>28575</xdr:rowOff>
        </xdr:to>
        <xdr:sp macro="" textlink="">
          <xdr:nvSpPr>
            <xdr:cNvPr id="1599" name="Check Box 575" hidden="1">
              <a:extLst>
                <a:ext uri="{63B3BB69-23CF-44E3-9099-C40C66FF867C}">
                  <a14:compatExt spid="_x0000_s1599"/>
                </a:ext>
                <a:ext uri="{FF2B5EF4-FFF2-40B4-BE49-F238E27FC236}">
                  <a16:creationId xmlns:a16="http://schemas.microsoft.com/office/drawing/2014/main" id="{00000000-0008-0000-0200-00003F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372</xdr:row>
          <xdr:rowOff>28575</xdr:rowOff>
        </xdr:from>
        <xdr:to>
          <xdr:col>12</xdr:col>
          <xdr:colOff>0</xdr:colOff>
          <xdr:row>372</xdr:row>
          <xdr:rowOff>28575</xdr:rowOff>
        </xdr:to>
        <xdr:sp macro="" textlink="">
          <xdr:nvSpPr>
            <xdr:cNvPr id="1600" name="Check Box 576" hidden="1">
              <a:extLst>
                <a:ext uri="{63B3BB69-23CF-44E3-9099-C40C66FF867C}">
                  <a14:compatExt spid="_x0000_s1600"/>
                </a:ext>
                <a:ext uri="{FF2B5EF4-FFF2-40B4-BE49-F238E27FC236}">
                  <a16:creationId xmlns:a16="http://schemas.microsoft.com/office/drawing/2014/main" id="{00000000-0008-0000-0200-000040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373</xdr:row>
          <xdr:rowOff>28575</xdr:rowOff>
        </xdr:from>
        <xdr:to>
          <xdr:col>12</xdr:col>
          <xdr:colOff>0</xdr:colOff>
          <xdr:row>373</xdr:row>
          <xdr:rowOff>28575</xdr:rowOff>
        </xdr:to>
        <xdr:sp macro="" textlink="">
          <xdr:nvSpPr>
            <xdr:cNvPr id="1601" name="Check Box 577" hidden="1">
              <a:extLst>
                <a:ext uri="{63B3BB69-23CF-44E3-9099-C40C66FF867C}">
                  <a14:compatExt spid="_x0000_s1601"/>
                </a:ext>
                <a:ext uri="{FF2B5EF4-FFF2-40B4-BE49-F238E27FC236}">
                  <a16:creationId xmlns:a16="http://schemas.microsoft.com/office/drawing/2014/main" id="{00000000-0008-0000-0200-000041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374</xdr:row>
          <xdr:rowOff>28575</xdr:rowOff>
        </xdr:from>
        <xdr:to>
          <xdr:col>12</xdr:col>
          <xdr:colOff>0</xdr:colOff>
          <xdr:row>374</xdr:row>
          <xdr:rowOff>28575</xdr:rowOff>
        </xdr:to>
        <xdr:sp macro="" textlink="">
          <xdr:nvSpPr>
            <xdr:cNvPr id="1602" name="Check Box 578" hidden="1">
              <a:extLst>
                <a:ext uri="{63B3BB69-23CF-44E3-9099-C40C66FF867C}">
                  <a14:compatExt spid="_x0000_s1602"/>
                </a:ext>
                <a:ext uri="{FF2B5EF4-FFF2-40B4-BE49-F238E27FC236}">
                  <a16:creationId xmlns:a16="http://schemas.microsoft.com/office/drawing/2014/main" id="{00000000-0008-0000-0200-000042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375</xdr:row>
          <xdr:rowOff>28575</xdr:rowOff>
        </xdr:from>
        <xdr:to>
          <xdr:col>12</xdr:col>
          <xdr:colOff>0</xdr:colOff>
          <xdr:row>375</xdr:row>
          <xdr:rowOff>28575</xdr:rowOff>
        </xdr:to>
        <xdr:sp macro="" textlink="">
          <xdr:nvSpPr>
            <xdr:cNvPr id="1603" name="Check Box 579" hidden="1">
              <a:extLst>
                <a:ext uri="{63B3BB69-23CF-44E3-9099-C40C66FF867C}">
                  <a14:compatExt spid="_x0000_s1603"/>
                </a:ext>
                <a:ext uri="{FF2B5EF4-FFF2-40B4-BE49-F238E27FC236}">
                  <a16:creationId xmlns:a16="http://schemas.microsoft.com/office/drawing/2014/main" id="{00000000-0008-0000-0200-000043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376</xdr:row>
          <xdr:rowOff>28575</xdr:rowOff>
        </xdr:from>
        <xdr:to>
          <xdr:col>12</xdr:col>
          <xdr:colOff>0</xdr:colOff>
          <xdr:row>376</xdr:row>
          <xdr:rowOff>28575</xdr:rowOff>
        </xdr:to>
        <xdr:sp macro="" textlink="">
          <xdr:nvSpPr>
            <xdr:cNvPr id="1604" name="Check Box 580" hidden="1">
              <a:extLst>
                <a:ext uri="{63B3BB69-23CF-44E3-9099-C40C66FF867C}">
                  <a14:compatExt spid="_x0000_s1604"/>
                </a:ext>
                <a:ext uri="{FF2B5EF4-FFF2-40B4-BE49-F238E27FC236}">
                  <a16:creationId xmlns:a16="http://schemas.microsoft.com/office/drawing/2014/main" id="{00000000-0008-0000-0200-000044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126</xdr:row>
          <xdr:rowOff>19050</xdr:rowOff>
        </xdr:from>
        <xdr:to>
          <xdr:col>8</xdr:col>
          <xdr:colOff>19050</xdr:colOff>
          <xdr:row>127</xdr:row>
          <xdr:rowOff>19050</xdr:rowOff>
        </xdr:to>
        <xdr:sp macro="" textlink="">
          <xdr:nvSpPr>
            <xdr:cNvPr id="1605" name="Check Box 581" hidden="1">
              <a:extLst>
                <a:ext uri="{63B3BB69-23CF-44E3-9099-C40C66FF867C}">
                  <a14:compatExt spid="_x0000_s1605"/>
                </a:ext>
                <a:ext uri="{FF2B5EF4-FFF2-40B4-BE49-F238E27FC236}">
                  <a16:creationId xmlns:a16="http://schemas.microsoft.com/office/drawing/2014/main" id="{00000000-0008-0000-0200-000045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127</xdr:row>
          <xdr:rowOff>19050</xdr:rowOff>
        </xdr:from>
        <xdr:to>
          <xdr:col>8</xdr:col>
          <xdr:colOff>19050</xdr:colOff>
          <xdr:row>128</xdr:row>
          <xdr:rowOff>19050</xdr:rowOff>
        </xdr:to>
        <xdr:sp macro="" textlink="">
          <xdr:nvSpPr>
            <xdr:cNvPr id="1606" name="Check Box 582" hidden="1">
              <a:extLst>
                <a:ext uri="{63B3BB69-23CF-44E3-9099-C40C66FF867C}">
                  <a14:compatExt spid="_x0000_s1606"/>
                </a:ext>
                <a:ext uri="{FF2B5EF4-FFF2-40B4-BE49-F238E27FC236}">
                  <a16:creationId xmlns:a16="http://schemas.microsoft.com/office/drawing/2014/main" id="{00000000-0008-0000-0200-000046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128</xdr:row>
          <xdr:rowOff>19050</xdr:rowOff>
        </xdr:from>
        <xdr:to>
          <xdr:col>8</xdr:col>
          <xdr:colOff>19050</xdr:colOff>
          <xdr:row>129</xdr:row>
          <xdr:rowOff>19050</xdr:rowOff>
        </xdr:to>
        <xdr:sp macro="" textlink="">
          <xdr:nvSpPr>
            <xdr:cNvPr id="1607" name="Check Box 583" hidden="1">
              <a:extLst>
                <a:ext uri="{63B3BB69-23CF-44E3-9099-C40C66FF867C}">
                  <a14:compatExt spid="_x0000_s1607"/>
                </a:ext>
                <a:ext uri="{FF2B5EF4-FFF2-40B4-BE49-F238E27FC236}">
                  <a16:creationId xmlns:a16="http://schemas.microsoft.com/office/drawing/2014/main" id="{00000000-0008-0000-0200-000047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129</xdr:row>
          <xdr:rowOff>19050</xdr:rowOff>
        </xdr:from>
        <xdr:to>
          <xdr:col>8</xdr:col>
          <xdr:colOff>19050</xdr:colOff>
          <xdr:row>130</xdr:row>
          <xdr:rowOff>19050</xdr:rowOff>
        </xdr:to>
        <xdr:sp macro="" textlink="">
          <xdr:nvSpPr>
            <xdr:cNvPr id="1608" name="Check Box 584" hidden="1">
              <a:extLst>
                <a:ext uri="{63B3BB69-23CF-44E3-9099-C40C66FF867C}">
                  <a14:compatExt spid="_x0000_s1608"/>
                </a:ext>
                <a:ext uri="{FF2B5EF4-FFF2-40B4-BE49-F238E27FC236}">
                  <a16:creationId xmlns:a16="http://schemas.microsoft.com/office/drawing/2014/main" id="{00000000-0008-0000-0200-000048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130</xdr:row>
          <xdr:rowOff>19050</xdr:rowOff>
        </xdr:from>
        <xdr:to>
          <xdr:col>8</xdr:col>
          <xdr:colOff>19050</xdr:colOff>
          <xdr:row>131</xdr:row>
          <xdr:rowOff>19050</xdr:rowOff>
        </xdr:to>
        <xdr:sp macro="" textlink="">
          <xdr:nvSpPr>
            <xdr:cNvPr id="1609" name="Check Box 585" hidden="1">
              <a:extLst>
                <a:ext uri="{63B3BB69-23CF-44E3-9099-C40C66FF867C}">
                  <a14:compatExt spid="_x0000_s1609"/>
                </a:ext>
                <a:ext uri="{FF2B5EF4-FFF2-40B4-BE49-F238E27FC236}">
                  <a16:creationId xmlns:a16="http://schemas.microsoft.com/office/drawing/2014/main" id="{00000000-0008-0000-0200-000049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131</xdr:row>
          <xdr:rowOff>19050</xdr:rowOff>
        </xdr:from>
        <xdr:to>
          <xdr:col>8</xdr:col>
          <xdr:colOff>19050</xdr:colOff>
          <xdr:row>132</xdr:row>
          <xdr:rowOff>19050</xdr:rowOff>
        </xdr:to>
        <xdr:sp macro="" textlink="">
          <xdr:nvSpPr>
            <xdr:cNvPr id="1610" name="Check Box 586" hidden="1">
              <a:extLst>
                <a:ext uri="{63B3BB69-23CF-44E3-9099-C40C66FF867C}">
                  <a14:compatExt spid="_x0000_s1610"/>
                </a:ext>
                <a:ext uri="{FF2B5EF4-FFF2-40B4-BE49-F238E27FC236}">
                  <a16:creationId xmlns:a16="http://schemas.microsoft.com/office/drawing/2014/main" id="{00000000-0008-0000-0200-00004A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132</xdr:row>
          <xdr:rowOff>19050</xdr:rowOff>
        </xdr:from>
        <xdr:to>
          <xdr:col>8</xdr:col>
          <xdr:colOff>19050</xdr:colOff>
          <xdr:row>133</xdr:row>
          <xdr:rowOff>19050</xdr:rowOff>
        </xdr:to>
        <xdr:sp macro="" textlink="">
          <xdr:nvSpPr>
            <xdr:cNvPr id="1611" name="Check Box 587" hidden="1">
              <a:extLst>
                <a:ext uri="{63B3BB69-23CF-44E3-9099-C40C66FF867C}">
                  <a14:compatExt spid="_x0000_s1611"/>
                </a:ext>
                <a:ext uri="{FF2B5EF4-FFF2-40B4-BE49-F238E27FC236}">
                  <a16:creationId xmlns:a16="http://schemas.microsoft.com/office/drawing/2014/main" id="{00000000-0008-0000-0200-00004B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133</xdr:row>
          <xdr:rowOff>19050</xdr:rowOff>
        </xdr:from>
        <xdr:to>
          <xdr:col>8</xdr:col>
          <xdr:colOff>19050</xdr:colOff>
          <xdr:row>134</xdr:row>
          <xdr:rowOff>19050</xdr:rowOff>
        </xdr:to>
        <xdr:sp macro="" textlink="">
          <xdr:nvSpPr>
            <xdr:cNvPr id="1612" name="Check Box 588" hidden="1">
              <a:extLst>
                <a:ext uri="{63B3BB69-23CF-44E3-9099-C40C66FF867C}">
                  <a14:compatExt spid="_x0000_s1612"/>
                </a:ext>
                <a:ext uri="{FF2B5EF4-FFF2-40B4-BE49-F238E27FC236}">
                  <a16:creationId xmlns:a16="http://schemas.microsoft.com/office/drawing/2014/main" id="{00000000-0008-0000-0200-00004C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134</xdr:row>
          <xdr:rowOff>19050</xdr:rowOff>
        </xdr:from>
        <xdr:to>
          <xdr:col>8</xdr:col>
          <xdr:colOff>19050</xdr:colOff>
          <xdr:row>135</xdr:row>
          <xdr:rowOff>19050</xdr:rowOff>
        </xdr:to>
        <xdr:sp macro="" textlink="">
          <xdr:nvSpPr>
            <xdr:cNvPr id="1613" name="Check Box 589" hidden="1">
              <a:extLst>
                <a:ext uri="{63B3BB69-23CF-44E3-9099-C40C66FF867C}">
                  <a14:compatExt spid="_x0000_s1613"/>
                </a:ext>
                <a:ext uri="{FF2B5EF4-FFF2-40B4-BE49-F238E27FC236}">
                  <a16:creationId xmlns:a16="http://schemas.microsoft.com/office/drawing/2014/main" id="{00000000-0008-0000-0200-00004D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135</xdr:row>
          <xdr:rowOff>19050</xdr:rowOff>
        </xdr:from>
        <xdr:to>
          <xdr:col>8</xdr:col>
          <xdr:colOff>19050</xdr:colOff>
          <xdr:row>136</xdr:row>
          <xdr:rowOff>19050</xdr:rowOff>
        </xdr:to>
        <xdr:sp macro="" textlink="">
          <xdr:nvSpPr>
            <xdr:cNvPr id="1614" name="Check Box 590" hidden="1">
              <a:extLst>
                <a:ext uri="{63B3BB69-23CF-44E3-9099-C40C66FF867C}">
                  <a14:compatExt spid="_x0000_s1614"/>
                </a:ext>
                <a:ext uri="{FF2B5EF4-FFF2-40B4-BE49-F238E27FC236}">
                  <a16:creationId xmlns:a16="http://schemas.microsoft.com/office/drawing/2014/main" id="{00000000-0008-0000-0200-00004E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136</xdr:row>
          <xdr:rowOff>19050</xdr:rowOff>
        </xdr:from>
        <xdr:to>
          <xdr:col>8</xdr:col>
          <xdr:colOff>19050</xdr:colOff>
          <xdr:row>137</xdr:row>
          <xdr:rowOff>19050</xdr:rowOff>
        </xdr:to>
        <xdr:sp macro="" textlink="">
          <xdr:nvSpPr>
            <xdr:cNvPr id="1615" name="Check Box 591" hidden="1">
              <a:extLst>
                <a:ext uri="{63B3BB69-23CF-44E3-9099-C40C66FF867C}">
                  <a14:compatExt spid="_x0000_s1615"/>
                </a:ext>
                <a:ext uri="{FF2B5EF4-FFF2-40B4-BE49-F238E27FC236}">
                  <a16:creationId xmlns:a16="http://schemas.microsoft.com/office/drawing/2014/main" id="{00000000-0008-0000-0200-00004F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137</xdr:row>
          <xdr:rowOff>19050</xdr:rowOff>
        </xdr:from>
        <xdr:to>
          <xdr:col>8</xdr:col>
          <xdr:colOff>19050</xdr:colOff>
          <xdr:row>138</xdr:row>
          <xdr:rowOff>19050</xdr:rowOff>
        </xdr:to>
        <xdr:sp macro="" textlink="">
          <xdr:nvSpPr>
            <xdr:cNvPr id="1616" name="Check Box 592" hidden="1">
              <a:extLst>
                <a:ext uri="{63B3BB69-23CF-44E3-9099-C40C66FF867C}">
                  <a14:compatExt spid="_x0000_s1616"/>
                </a:ext>
                <a:ext uri="{FF2B5EF4-FFF2-40B4-BE49-F238E27FC236}">
                  <a16:creationId xmlns:a16="http://schemas.microsoft.com/office/drawing/2014/main" id="{00000000-0008-0000-0200-000050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138</xdr:row>
          <xdr:rowOff>19050</xdr:rowOff>
        </xdr:from>
        <xdr:to>
          <xdr:col>8</xdr:col>
          <xdr:colOff>19050</xdr:colOff>
          <xdr:row>139</xdr:row>
          <xdr:rowOff>19050</xdr:rowOff>
        </xdr:to>
        <xdr:sp macro="" textlink="">
          <xdr:nvSpPr>
            <xdr:cNvPr id="1617" name="Check Box 593" hidden="1">
              <a:extLst>
                <a:ext uri="{63B3BB69-23CF-44E3-9099-C40C66FF867C}">
                  <a14:compatExt spid="_x0000_s1617"/>
                </a:ext>
                <a:ext uri="{FF2B5EF4-FFF2-40B4-BE49-F238E27FC236}">
                  <a16:creationId xmlns:a16="http://schemas.microsoft.com/office/drawing/2014/main" id="{00000000-0008-0000-0200-000051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139</xdr:row>
          <xdr:rowOff>19050</xdr:rowOff>
        </xdr:from>
        <xdr:to>
          <xdr:col>8</xdr:col>
          <xdr:colOff>19050</xdr:colOff>
          <xdr:row>140</xdr:row>
          <xdr:rowOff>19050</xdr:rowOff>
        </xdr:to>
        <xdr:sp macro="" textlink="">
          <xdr:nvSpPr>
            <xdr:cNvPr id="1618" name="Check Box 594" hidden="1">
              <a:extLst>
                <a:ext uri="{63B3BB69-23CF-44E3-9099-C40C66FF867C}">
                  <a14:compatExt spid="_x0000_s1618"/>
                </a:ext>
                <a:ext uri="{FF2B5EF4-FFF2-40B4-BE49-F238E27FC236}">
                  <a16:creationId xmlns:a16="http://schemas.microsoft.com/office/drawing/2014/main" id="{00000000-0008-0000-0200-000052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140</xdr:row>
          <xdr:rowOff>19050</xdr:rowOff>
        </xdr:from>
        <xdr:to>
          <xdr:col>8</xdr:col>
          <xdr:colOff>19050</xdr:colOff>
          <xdr:row>141</xdr:row>
          <xdr:rowOff>19050</xdr:rowOff>
        </xdr:to>
        <xdr:sp macro="" textlink="">
          <xdr:nvSpPr>
            <xdr:cNvPr id="1619" name="Check Box 595" hidden="1">
              <a:extLst>
                <a:ext uri="{63B3BB69-23CF-44E3-9099-C40C66FF867C}">
                  <a14:compatExt spid="_x0000_s1619"/>
                </a:ext>
                <a:ext uri="{FF2B5EF4-FFF2-40B4-BE49-F238E27FC236}">
                  <a16:creationId xmlns:a16="http://schemas.microsoft.com/office/drawing/2014/main" id="{00000000-0008-0000-0200-000053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141</xdr:row>
          <xdr:rowOff>19050</xdr:rowOff>
        </xdr:from>
        <xdr:to>
          <xdr:col>8</xdr:col>
          <xdr:colOff>19050</xdr:colOff>
          <xdr:row>142</xdr:row>
          <xdr:rowOff>19050</xdr:rowOff>
        </xdr:to>
        <xdr:sp macro="" textlink="">
          <xdr:nvSpPr>
            <xdr:cNvPr id="1620" name="Check Box 596" hidden="1">
              <a:extLst>
                <a:ext uri="{63B3BB69-23CF-44E3-9099-C40C66FF867C}">
                  <a14:compatExt spid="_x0000_s1620"/>
                </a:ext>
                <a:ext uri="{FF2B5EF4-FFF2-40B4-BE49-F238E27FC236}">
                  <a16:creationId xmlns:a16="http://schemas.microsoft.com/office/drawing/2014/main" id="{00000000-0008-0000-0200-000054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142</xdr:row>
          <xdr:rowOff>19050</xdr:rowOff>
        </xdr:from>
        <xdr:to>
          <xdr:col>8</xdr:col>
          <xdr:colOff>19050</xdr:colOff>
          <xdr:row>143</xdr:row>
          <xdr:rowOff>19050</xdr:rowOff>
        </xdr:to>
        <xdr:sp macro="" textlink="">
          <xdr:nvSpPr>
            <xdr:cNvPr id="1621" name="Check Box 597" hidden="1">
              <a:extLst>
                <a:ext uri="{63B3BB69-23CF-44E3-9099-C40C66FF867C}">
                  <a14:compatExt spid="_x0000_s1621"/>
                </a:ext>
                <a:ext uri="{FF2B5EF4-FFF2-40B4-BE49-F238E27FC236}">
                  <a16:creationId xmlns:a16="http://schemas.microsoft.com/office/drawing/2014/main" id="{00000000-0008-0000-0200-000055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143</xdr:row>
          <xdr:rowOff>19050</xdr:rowOff>
        </xdr:from>
        <xdr:to>
          <xdr:col>8</xdr:col>
          <xdr:colOff>19050</xdr:colOff>
          <xdr:row>144</xdr:row>
          <xdr:rowOff>19050</xdr:rowOff>
        </xdr:to>
        <xdr:sp macro="" textlink="">
          <xdr:nvSpPr>
            <xdr:cNvPr id="1622" name="Check Box 598" hidden="1">
              <a:extLst>
                <a:ext uri="{63B3BB69-23CF-44E3-9099-C40C66FF867C}">
                  <a14:compatExt spid="_x0000_s1622"/>
                </a:ext>
                <a:ext uri="{FF2B5EF4-FFF2-40B4-BE49-F238E27FC236}">
                  <a16:creationId xmlns:a16="http://schemas.microsoft.com/office/drawing/2014/main" id="{00000000-0008-0000-0200-000056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144</xdr:row>
          <xdr:rowOff>19050</xdr:rowOff>
        </xdr:from>
        <xdr:to>
          <xdr:col>8</xdr:col>
          <xdr:colOff>19050</xdr:colOff>
          <xdr:row>146</xdr:row>
          <xdr:rowOff>9525</xdr:rowOff>
        </xdr:to>
        <xdr:sp macro="" textlink="">
          <xdr:nvSpPr>
            <xdr:cNvPr id="1623" name="Check Box 599" hidden="1">
              <a:extLst>
                <a:ext uri="{63B3BB69-23CF-44E3-9099-C40C66FF867C}">
                  <a14:compatExt spid="_x0000_s1623"/>
                </a:ext>
                <a:ext uri="{FF2B5EF4-FFF2-40B4-BE49-F238E27FC236}">
                  <a16:creationId xmlns:a16="http://schemas.microsoft.com/office/drawing/2014/main" id="{00000000-0008-0000-0200-000057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184</xdr:row>
          <xdr:rowOff>28575</xdr:rowOff>
        </xdr:from>
        <xdr:to>
          <xdr:col>12</xdr:col>
          <xdr:colOff>0</xdr:colOff>
          <xdr:row>184</xdr:row>
          <xdr:rowOff>28575</xdr:rowOff>
        </xdr:to>
        <xdr:sp macro="" textlink="">
          <xdr:nvSpPr>
            <xdr:cNvPr id="1624" name="Check Box 600" hidden="1">
              <a:extLst>
                <a:ext uri="{63B3BB69-23CF-44E3-9099-C40C66FF867C}">
                  <a14:compatExt spid="_x0000_s1624"/>
                </a:ext>
                <a:ext uri="{FF2B5EF4-FFF2-40B4-BE49-F238E27FC236}">
                  <a16:creationId xmlns:a16="http://schemas.microsoft.com/office/drawing/2014/main" id="{00000000-0008-0000-0200-000058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185</xdr:row>
          <xdr:rowOff>28575</xdr:rowOff>
        </xdr:from>
        <xdr:to>
          <xdr:col>12</xdr:col>
          <xdr:colOff>0</xdr:colOff>
          <xdr:row>185</xdr:row>
          <xdr:rowOff>28575</xdr:rowOff>
        </xdr:to>
        <xdr:sp macro="" textlink="">
          <xdr:nvSpPr>
            <xdr:cNvPr id="1625" name="Check Box 601" hidden="1">
              <a:extLst>
                <a:ext uri="{63B3BB69-23CF-44E3-9099-C40C66FF867C}">
                  <a14:compatExt spid="_x0000_s1625"/>
                </a:ext>
                <a:ext uri="{FF2B5EF4-FFF2-40B4-BE49-F238E27FC236}">
                  <a16:creationId xmlns:a16="http://schemas.microsoft.com/office/drawing/2014/main" id="{00000000-0008-0000-0200-000059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186</xdr:row>
          <xdr:rowOff>28575</xdr:rowOff>
        </xdr:from>
        <xdr:to>
          <xdr:col>12</xdr:col>
          <xdr:colOff>0</xdr:colOff>
          <xdr:row>186</xdr:row>
          <xdr:rowOff>28575</xdr:rowOff>
        </xdr:to>
        <xdr:sp macro="" textlink="">
          <xdr:nvSpPr>
            <xdr:cNvPr id="1626" name="Check Box 602" hidden="1">
              <a:extLst>
                <a:ext uri="{63B3BB69-23CF-44E3-9099-C40C66FF867C}">
                  <a14:compatExt spid="_x0000_s1626"/>
                </a:ext>
                <a:ext uri="{FF2B5EF4-FFF2-40B4-BE49-F238E27FC236}">
                  <a16:creationId xmlns:a16="http://schemas.microsoft.com/office/drawing/2014/main" id="{00000000-0008-0000-0200-00005A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187</xdr:row>
          <xdr:rowOff>28575</xdr:rowOff>
        </xdr:from>
        <xdr:to>
          <xdr:col>12</xdr:col>
          <xdr:colOff>0</xdr:colOff>
          <xdr:row>187</xdr:row>
          <xdr:rowOff>28575</xdr:rowOff>
        </xdr:to>
        <xdr:sp macro="" textlink="">
          <xdr:nvSpPr>
            <xdr:cNvPr id="1627" name="Check Box 603" hidden="1">
              <a:extLst>
                <a:ext uri="{63B3BB69-23CF-44E3-9099-C40C66FF867C}">
                  <a14:compatExt spid="_x0000_s1627"/>
                </a:ext>
                <a:ext uri="{FF2B5EF4-FFF2-40B4-BE49-F238E27FC236}">
                  <a16:creationId xmlns:a16="http://schemas.microsoft.com/office/drawing/2014/main" id="{00000000-0008-0000-0200-00005B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188</xdr:row>
          <xdr:rowOff>28575</xdr:rowOff>
        </xdr:from>
        <xdr:to>
          <xdr:col>12</xdr:col>
          <xdr:colOff>0</xdr:colOff>
          <xdr:row>188</xdr:row>
          <xdr:rowOff>28575</xdr:rowOff>
        </xdr:to>
        <xdr:sp macro="" textlink="">
          <xdr:nvSpPr>
            <xdr:cNvPr id="1628" name="Check Box 604" hidden="1">
              <a:extLst>
                <a:ext uri="{63B3BB69-23CF-44E3-9099-C40C66FF867C}">
                  <a14:compatExt spid="_x0000_s1628"/>
                </a:ext>
                <a:ext uri="{FF2B5EF4-FFF2-40B4-BE49-F238E27FC236}">
                  <a16:creationId xmlns:a16="http://schemas.microsoft.com/office/drawing/2014/main" id="{00000000-0008-0000-0200-00005C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189</xdr:row>
          <xdr:rowOff>28575</xdr:rowOff>
        </xdr:from>
        <xdr:to>
          <xdr:col>12</xdr:col>
          <xdr:colOff>0</xdr:colOff>
          <xdr:row>189</xdr:row>
          <xdr:rowOff>28575</xdr:rowOff>
        </xdr:to>
        <xdr:sp macro="" textlink="">
          <xdr:nvSpPr>
            <xdr:cNvPr id="1629" name="Check Box 605" hidden="1">
              <a:extLst>
                <a:ext uri="{63B3BB69-23CF-44E3-9099-C40C66FF867C}">
                  <a14:compatExt spid="_x0000_s1629"/>
                </a:ext>
                <a:ext uri="{FF2B5EF4-FFF2-40B4-BE49-F238E27FC236}">
                  <a16:creationId xmlns:a16="http://schemas.microsoft.com/office/drawing/2014/main" id="{00000000-0008-0000-0200-00005D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190</xdr:row>
          <xdr:rowOff>28575</xdr:rowOff>
        </xdr:from>
        <xdr:to>
          <xdr:col>12</xdr:col>
          <xdr:colOff>0</xdr:colOff>
          <xdr:row>190</xdr:row>
          <xdr:rowOff>28575</xdr:rowOff>
        </xdr:to>
        <xdr:sp macro="" textlink="">
          <xdr:nvSpPr>
            <xdr:cNvPr id="1630" name="Check Box 606" hidden="1">
              <a:extLst>
                <a:ext uri="{63B3BB69-23CF-44E3-9099-C40C66FF867C}">
                  <a14:compatExt spid="_x0000_s1630"/>
                </a:ext>
                <a:ext uri="{FF2B5EF4-FFF2-40B4-BE49-F238E27FC236}">
                  <a16:creationId xmlns:a16="http://schemas.microsoft.com/office/drawing/2014/main" id="{00000000-0008-0000-0200-00005E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191</xdr:row>
          <xdr:rowOff>28575</xdr:rowOff>
        </xdr:from>
        <xdr:to>
          <xdr:col>12</xdr:col>
          <xdr:colOff>0</xdr:colOff>
          <xdr:row>191</xdr:row>
          <xdr:rowOff>28575</xdr:rowOff>
        </xdr:to>
        <xdr:sp macro="" textlink="">
          <xdr:nvSpPr>
            <xdr:cNvPr id="1631" name="Check Box 607" hidden="1">
              <a:extLst>
                <a:ext uri="{63B3BB69-23CF-44E3-9099-C40C66FF867C}">
                  <a14:compatExt spid="_x0000_s1631"/>
                </a:ext>
                <a:ext uri="{FF2B5EF4-FFF2-40B4-BE49-F238E27FC236}">
                  <a16:creationId xmlns:a16="http://schemas.microsoft.com/office/drawing/2014/main" id="{00000000-0008-0000-0200-00005F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192</xdr:row>
          <xdr:rowOff>28575</xdr:rowOff>
        </xdr:from>
        <xdr:to>
          <xdr:col>12</xdr:col>
          <xdr:colOff>0</xdr:colOff>
          <xdr:row>192</xdr:row>
          <xdr:rowOff>28575</xdr:rowOff>
        </xdr:to>
        <xdr:sp macro="" textlink="">
          <xdr:nvSpPr>
            <xdr:cNvPr id="1632" name="Check Box 608" hidden="1">
              <a:extLst>
                <a:ext uri="{63B3BB69-23CF-44E3-9099-C40C66FF867C}">
                  <a14:compatExt spid="_x0000_s1632"/>
                </a:ext>
                <a:ext uri="{FF2B5EF4-FFF2-40B4-BE49-F238E27FC236}">
                  <a16:creationId xmlns:a16="http://schemas.microsoft.com/office/drawing/2014/main" id="{00000000-0008-0000-0200-000060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193</xdr:row>
          <xdr:rowOff>28575</xdr:rowOff>
        </xdr:from>
        <xdr:to>
          <xdr:col>12</xdr:col>
          <xdr:colOff>0</xdr:colOff>
          <xdr:row>193</xdr:row>
          <xdr:rowOff>28575</xdr:rowOff>
        </xdr:to>
        <xdr:sp macro="" textlink="">
          <xdr:nvSpPr>
            <xdr:cNvPr id="1633" name="Check Box 609" hidden="1">
              <a:extLst>
                <a:ext uri="{63B3BB69-23CF-44E3-9099-C40C66FF867C}">
                  <a14:compatExt spid="_x0000_s1633"/>
                </a:ext>
                <a:ext uri="{FF2B5EF4-FFF2-40B4-BE49-F238E27FC236}">
                  <a16:creationId xmlns:a16="http://schemas.microsoft.com/office/drawing/2014/main" id="{00000000-0008-0000-0200-000061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194</xdr:row>
          <xdr:rowOff>28575</xdr:rowOff>
        </xdr:from>
        <xdr:to>
          <xdr:col>12</xdr:col>
          <xdr:colOff>0</xdr:colOff>
          <xdr:row>194</xdr:row>
          <xdr:rowOff>28575</xdr:rowOff>
        </xdr:to>
        <xdr:sp macro="" textlink="">
          <xdr:nvSpPr>
            <xdr:cNvPr id="1634" name="Check Box 610" hidden="1">
              <a:extLst>
                <a:ext uri="{63B3BB69-23CF-44E3-9099-C40C66FF867C}">
                  <a14:compatExt spid="_x0000_s1634"/>
                </a:ext>
                <a:ext uri="{FF2B5EF4-FFF2-40B4-BE49-F238E27FC236}">
                  <a16:creationId xmlns:a16="http://schemas.microsoft.com/office/drawing/2014/main" id="{00000000-0008-0000-0200-000062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195</xdr:row>
          <xdr:rowOff>28575</xdr:rowOff>
        </xdr:from>
        <xdr:to>
          <xdr:col>12</xdr:col>
          <xdr:colOff>0</xdr:colOff>
          <xdr:row>195</xdr:row>
          <xdr:rowOff>28575</xdr:rowOff>
        </xdr:to>
        <xdr:sp macro="" textlink="">
          <xdr:nvSpPr>
            <xdr:cNvPr id="1635" name="Check Box 611" hidden="1">
              <a:extLst>
                <a:ext uri="{63B3BB69-23CF-44E3-9099-C40C66FF867C}">
                  <a14:compatExt spid="_x0000_s1635"/>
                </a:ext>
                <a:ext uri="{FF2B5EF4-FFF2-40B4-BE49-F238E27FC236}">
                  <a16:creationId xmlns:a16="http://schemas.microsoft.com/office/drawing/2014/main" id="{00000000-0008-0000-0200-000063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196</xdr:row>
          <xdr:rowOff>28575</xdr:rowOff>
        </xdr:from>
        <xdr:to>
          <xdr:col>12</xdr:col>
          <xdr:colOff>0</xdr:colOff>
          <xdr:row>196</xdr:row>
          <xdr:rowOff>28575</xdr:rowOff>
        </xdr:to>
        <xdr:sp macro="" textlink="">
          <xdr:nvSpPr>
            <xdr:cNvPr id="1636" name="Check Box 612" hidden="1">
              <a:extLst>
                <a:ext uri="{63B3BB69-23CF-44E3-9099-C40C66FF867C}">
                  <a14:compatExt spid="_x0000_s1636"/>
                </a:ext>
                <a:ext uri="{FF2B5EF4-FFF2-40B4-BE49-F238E27FC236}">
                  <a16:creationId xmlns:a16="http://schemas.microsoft.com/office/drawing/2014/main" id="{00000000-0008-0000-0200-000064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197</xdr:row>
          <xdr:rowOff>28575</xdr:rowOff>
        </xdr:from>
        <xdr:to>
          <xdr:col>12</xdr:col>
          <xdr:colOff>0</xdr:colOff>
          <xdr:row>197</xdr:row>
          <xdr:rowOff>28575</xdr:rowOff>
        </xdr:to>
        <xdr:sp macro="" textlink="">
          <xdr:nvSpPr>
            <xdr:cNvPr id="1637" name="Check Box 613" hidden="1">
              <a:extLst>
                <a:ext uri="{63B3BB69-23CF-44E3-9099-C40C66FF867C}">
                  <a14:compatExt spid="_x0000_s1637"/>
                </a:ext>
                <a:ext uri="{FF2B5EF4-FFF2-40B4-BE49-F238E27FC236}">
                  <a16:creationId xmlns:a16="http://schemas.microsoft.com/office/drawing/2014/main" id="{00000000-0008-0000-0200-000065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198</xdr:row>
          <xdr:rowOff>28575</xdr:rowOff>
        </xdr:from>
        <xdr:to>
          <xdr:col>12</xdr:col>
          <xdr:colOff>0</xdr:colOff>
          <xdr:row>198</xdr:row>
          <xdr:rowOff>28575</xdr:rowOff>
        </xdr:to>
        <xdr:sp macro="" textlink="">
          <xdr:nvSpPr>
            <xdr:cNvPr id="1638" name="Check Box 614" hidden="1">
              <a:extLst>
                <a:ext uri="{63B3BB69-23CF-44E3-9099-C40C66FF867C}">
                  <a14:compatExt spid="_x0000_s1638"/>
                </a:ext>
                <a:ext uri="{FF2B5EF4-FFF2-40B4-BE49-F238E27FC236}">
                  <a16:creationId xmlns:a16="http://schemas.microsoft.com/office/drawing/2014/main" id="{00000000-0008-0000-0200-000066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199</xdr:row>
          <xdr:rowOff>28575</xdr:rowOff>
        </xdr:from>
        <xdr:to>
          <xdr:col>12</xdr:col>
          <xdr:colOff>0</xdr:colOff>
          <xdr:row>199</xdr:row>
          <xdr:rowOff>28575</xdr:rowOff>
        </xdr:to>
        <xdr:sp macro="" textlink="">
          <xdr:nvSpPr>
            <xdr:cNvPr id="1639" name="Check Box 615" hidden="1">
              <a:extLst>
                <a:ext uri="{63B3BB69-23CF-44E3-9099-C40C66FF867C}">
                  <a14:compatExt spid="_x0000_s1639"/>
                </a:ext>
                <a:ext uri="{FF2B5EF4-FFF2-40B4-BE49-F238E27FC236}">
                  <a16:creationId xmlns:a16="http://schemas.microsoft.com/office/drawing/2014/main" id="{00000000-0008-0000-0200-000067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200</xdr:row>
          <xdr:rowOff>28575</xdr:rowOff>
        </xdr:from>
        <xdr:to>
          <xdr:col>12</xdr:col>
          <xdr:colOff>0</xdr:colOff>
          <xdr:row>200</xdr:row>
          <xdr:rowOff>28575</xdr:rowOff>
        </xdr:to>
        <xdr:sp macro="" textlink="">
          <xdr:nvSpPr>
            <xdr:cNvPr id="1640" name="Check Box 616" hidden="1">
              <a:extLst>
                <a:ext uri="{63B3BB69-23CF-44E3-9099-C40C66FF867C}">
                  <a14:compatExt spid="_x0000_s1640"/>
                </a:ext>
                <a:ext uri="{FF2B5EF4-FFF2-40B4-BE49-F238E27FC236}">
                  <a16:creationId xmlns:a16="http://schemas.microsoft.com/office/drawing/2014/main" id="{00000000-0008-0000-0200-000068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201</xdr:row>
          <xdr:rowOff>28575</xdr:rowOff>
        </xdr:from>
        <xdr:to>
          <xdr:col>12</xdr:col>
          <xdr:colOff>0</xdr:colOff>
          <xdr:row>201</xdr:row>
          <xdr:rowOff>28575</xdr:rowOff>
        </xdr:to>
        <xdr:sp macro="" textlink="">
          <xdr:nvSpPr>
            <xdr:cNvPr id="1641" name="Check Box 617" hidden="1">
              <a:extLst>
                <a:ext uri="{63B3BB69-23CF-44E3-9099-C40C66FF867C}">
                  <a14:compatExt spid="_x0000_s1641"/>
                </a:ext>
                <a:ext uri="{FF2B5EF4-FFF2-40B4-BE49-F238E27FC236}">
                  <a16:creationId xmlns:a16="http://schemas.microsoft.com/office/drawing/2014/main" id="{00000000-0008-0000-0200-000069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202</xdr:row>
          <xdr:rowOff>28575</xdr:rowOff>
        </xdr:from>
        <xdr:to>
          <xdr:col>12</xdr:col>
          <xdr:colOff>0</xdr:colOff>
          <xdr:row>202</xdr:row>
          <xdr:rowOff>28575</xdr:rowOff>
        </xdr:to>
        <xdr:sp macro="" textlink="">
          <xdr:nvSpPr>
            <xdr:cNvPr id="1642" name="Check Box 618" hidden="1">
              <a:extLst>
                <a:ext uri="{63B3BB69-23CF-44E3-9099-C40C66FF867C}">
                  <a14:compatExt spid="_x0000_s1642"/>
                </a:ext>
                <a:ext uri="{FF2B5EF4-FFF2-40B4-BE49-F238E27FC236}">
                  <a16:creationId xmlns:a16="http://schemas.microsoft.com/office/drawing/2014/main" id="{00000000-0008-0000-0200-00006A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271</xdr:row>
          <xdr:rowOff>28575</xdr:rowOff>
        </xdr:from>
        <xdr:to>
          <xdr:col>12</xdr:col>
          <xdr:colOff>0</xdr:colOff>
          <xdr:row>271</xdr:row>
          <xdr:rowOff>28575</xdr:rowOff>
        </xdr:to>
        <xdr:sp macro="" textlink="">
          <xdr:nvSpPr>
            <xdr:cNvPr id="1643" name="Check Box 619" hidden="1">
              <a:extLst>
                <a:ext uri="{63B3BB69-23CF-44E3-9099-C40C66FF867C}">
                  <a14:compatExt spid="_x0000_s1643"/>
                </a:ext>
                <a:ext uri="{FF2B5EF4-FFF2-40B4-BE49-F238E27FC236}">
                  <a16:creationId xmlns:a16="http://schemas.microsoft.com/office/drawing/2014/main" id="{00000000-0008-0000-0200-00006B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272</xdr:row>
          <xdr:rowOff>28575</xdr:rowOff>
        </xdr:from>
        <xdr:to>
          <xdr:col>12</xdr:col>
          <xdr:colOff>0</xdr:colOff>
          <xdr:row>272</xdr:row>
          <xdr:rowOff>28575</xdr:rowOff>
        </xdr:to>
        <xdr:sp macro="" textlink="">
          <xdr:nvSpPr>
            <xdr:cNvPr id="1644" name="Check Box 620" hidden="1">
              <a:extLst>
                <a:ext uri="{63B3BB69-23CF-44E3-9099-C40C66FF867C}">
                  <a14:compatExt spid="_x0000_s1644"/>
                </a:ext>
                <a:ext uri="{FF2B5EF4-FFF2-40B4-BE49-F238E27FC236}">
                  <a16:creationId xmlns:a16="http://schemas.microsoft.com/office/drawing/2014/main" id="{00000000-0008-0000-0200-00006C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273</xdr:row>
          <xdr:rowOff>28575</xdr:rowOff>
        </xdr:from>
        <xdr:to>
          <xdr:col>12</xdr:col>
          <xdr:colOff>0</xdr:colOff>
          <xdr:row>273</xdr:row>
          <xdr:rowOff>28575</xdr:rowOff>
        </xdr:to>
        <xdr:sp macro="" textlink="">
          <xdr:nvSpPr>
            <xdr:cNvPr id="1645" name="Check Box 621" hidden="1">
              <a:extLst>
                <a:ext uri="{63B3BB69-23CF-44E3-9099-C40C66FF867C}">
                  <a14:compatExt spid="_x0000_s1645"/>
                </a:ext>
                <a:ext uri="{FF2B5EF4-FFF2-40B4-BE49-F238E27FC236}">
                  <a16:creationId xmlns:a16="http://schemas.microsoft.com/office/drawing/2014/main" id="{00000000-0008-0000-0200-00006D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274</xdr:row>
          <xdr:rowOff>28575</xdr:rowOff>
        </xdr:from>
        <xdr:to>
          <xdr:col>12</xdr:col>
          <xdr:colOff>0</xdr:colOff>
          <xdr:row>274</xdr:row>
          <xdr:rowOff>28575</xdr:rowOff>
        </xdr:to>
        <xdr:sp macro="" textlink="">
          <xdr:nvSpPr>
            <xdr:cNvPr id="1646" name="Check Box 622" hidden="1">
              <a:extLst>
                <a:ext uri="{63B3BB69-23CF-44E3-9099-C40C66FF867C}">
                  <a14:compatExt spid="_x0000_s1646"/>
                </a:ext>
                <a:ext uri="{FF2B5EF4-FFF2-40B4-BE49-F238E27FC236}">
                  <a16:creationId xmlns:a16="http://schemas.microsoft.com/office/drawing/2014/main" id="{00000000-0008-0000-0200-00006E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275</xdr:row>
          <xdr:rowOff>28575</xdr:rowOff>
        </xdr:from>
        <xdr:to>
          <xdr:col>12</xdr:col>
          <xdr:colOff>0</xdr:colOff>
          <xdr:row>275</xdr:row>
          <xdr:rowOff>28575</xdr:rowOff>
        </xdr:to>
        <xdr:sp macro="" textlink="">
          <xdr:nvSpPr>
            <xdr:cNvPr id="1647" name="Check Box 623" hidden="1">
              <a:extLst>
                <a:ext uri="{63B3BB69-23CF-44E3-9099-C40C66FF867C}">
                  <a14:compatExt spid="_x0000_s1647"/>
                </a:ext>
                <a:ext uri="{FF2B5EF4-FFF2-40B4-BE49-F238E27FC236}">
                  <a16:creationId xmlns:a16="http://schemas.microsoft.com/office/drawing/2014/main" id="{00000000-0008-0000-0200-00006F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276</xdr:row>
          <xdr:rowOff>28575</xdr:rowOff>
        </xdr:from>
        <xdr:to>
          <xdr:col>12</xdr:col>
          <xdr:colOff>0</xdr:colOff>
          <xdr:row>276</xdr:row>
          <xdr:rowOff>28575</xdr:rowOff>
        </xdr:to>
        <xdr:sp macro="" textlink="">
          <xdr:nvSpPr>
            <xdr:cNvPr id="1648" name="Check Box 624" hidden="1">
              <a:extLst>
                <a:ext uri="{63B3BB69-23CF-44E3-9099-C40C66FF867C}">
                  <a14:compatExt spid="_x0000_s1648"/>
                </a:ext>
                <a:ext uri="{FF2B5EF4-FFF2-40B4-BE49-F238E27FC236}">
                  <a16:creationId xmlns:a16="http://schemas.microsoft.com/office/drawing/2014/main" id="{00000000-0008-0000-0200-000070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277</xdr:row>
          <xdr:rowOff>28575</xdr:rowOff>
        </xdr:from>
        <xdr:to>
          <xdr:col>12</xdr:col>
          <xdr:colOff>0</xdr:colOff>
          <xdr:row>277</xdr:row>
          <xdr:rowOff>28575</xdr:rowOff>
        </xdr:to>
        <xdr:sp macro="" textlink="">
          <xdr:nvSpPr>
            <xdr:cNvPr id="1649" name="Check Box 625" hidden="1">
              <a:extLst>
                <a:ext uri="{63B3BB69-23CF-44E3-9099-C40C66FF867C}">
                  <a14:compatExt spid="_x0000_s1649"/>
                </a:ext>
                <a:ext uri="{FF2B5EF4-FFF2-40B4-BE49-F238E27FC236}">
                  <a16:creationId xmlns:a16="http://schemas.microsoft.com/office/drawing/2014/main" id="{00000000-0008-0000-0200-000071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278</xdr:row>
          <xdr:rowOff>28575</xdr:rowOff>
        </xdr:from>
        <xdr:to>
          <xdr:col>12</xdr:col>
          <xdr:colOff>0</xdr:colOff>
          <xdr:row>278</xdr:row>
          <xdr:rowOff>28575</xdr:rowOff>
        </xdr:to>
        <xdr:sp macro="" textlink="">
          <xdr:nvSpPr>
            <xdr:cNvPr id="1650" name="Check Box 626" hidden="1">
              <a:extLst>
                <a:ext uri="{63B3BB69-23CF-44E3-9099-C40C66FF867C}">
                  <a14:compatExt spid="_x0000_s1650"/>
                </a:ext>
                <a:ext uri="{FF2B5EF4-FFF2-40B4-BE49-F238E27FC236}">
                  <a16:creationId xmlns:a16="http://schemas.microsoft.com/office/drawing/2014/main" id="{00000000-0008-0000-0200-000072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279</xdr:row>
          <xdr:rowOff>28575</xdr:rowOff>
        </xdr:from>
        <xdr:to>
          <xdr:col>12</xdr:col>
          <xdr:colOff>0</xdr:colOff>
          <xdr:row>279</xdr:row>
          <xdr:rowOff>28575</xdr:rowOff>
        </xdr:to>
        <xdr:sp macro="" textlink="">
          <xdr:nvSpPr>
            <xdr:cNvPr id="1651" name="Check Box 627" hidden="1">
              <a:extLst>
                <a:ext uri="{63B3BB69-23CF-44E3-9099-C40C66FF867C}">
                  <a14:compatExt spid="_x0000_s1651"/>
                </a:ext>
                <a:ext uri="{FF2B5EF4-FFF2-40B4-BE49-F238E27FC236}">
                  <a16:creationId xmlns:a16="http://schemas.microsoft.com/office/drawing/2014/main" id="{00000000-0008-0000-0200-000073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280</xdr:row>
          <xdr:rowOff>28575</xdr:rowOff>
        </xdr:from>
        <xdr:to>
          <xdr:col>12</xdr:col>
          <xdr:colOff>0</xdr:colOff>
          <xdr:row>280</xdr:row>
          <xdr:rowOff>28575</xdr:rowOff>
        </xdr:to>
        <xdr:sp macro="" textlink="">
          <xdr:nvSpPr>
            <xdr:cNvPr id="1652" name="Check Box 628" hidden="1">
              <a:extLst>
                <a:ext uri="{63B3BB69-23CF-44E3-9099-C40C66FF867C}">
                  <a14:compatExt spid="_x0000_s1652"/>
                </a:ext>
                <a:ext uri="{FF2B5EF4-FFF2-40B4-BE49-F238E27FC236}">
                  <a16:creationId xmlns:a16="http://schemas.microsoft.com/office/drawing/2014/main" id="{00000000-0008-0000-0200-000074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281</xdr:row>
          <xdr:rowOff>28575</xdr:rowOff>
        </xdr:from>
        <xdr:to>
          <xdr:col>12</xdr:col>
          <xdr:colOff>0</xdr:colOff>
          <xdr:row>281</xdr:row>
          <xdr:rowOff>28575</xdr:rowOff>
        </xdr:to>
        <xdr:sp macro="" textlink="">
          <xdr:nvSpPr>
            <xdr:cNvPr id="1653" name="Check Box 629" hidden="1">
              <a:extLst>
                <a:ext uri="{63B3BB69-23CF-44E3-9099-C40C66FF867C}">
                  <a14:compatExt spid="_x0000_s1653"/>
                </a:ext>
                <a:ext uri="{FF2B5EF4-FFF2-40B4-BE49-F238E27FC236}">
                  <a16:creationId xmlns:a16="http://schemas.microsoft.com/office/drawing/2014/main" id="{00000000-0008-0000-0200-000075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282</xdr:row>
          <xdr:rowOff>28575</xdr:rowOff>
        </xdr:from>
        <xdr:to>
          <xdr:col>12</xdr:col>
          <xdr:colOff>0</xdr:colOff>
          <xdr:row>282</xdr:row>
          <xdr:rowOff>28575</xdr:rowOff>
        </xdr:to>
        <xdr:sp macro="" textlink="">
          <xdr:nvSpPr>
            <xdr:cNvPr id="1654" name="Check Box 630" hidden="1">
              <a:extLst>
                <a:ext uri="{63B3BB69-23CF-44E3-9099-C40C66FF867C}">
                  <a14:compatExt spid="_x0000_s1654"/>
                </a:ext>
                <a:ext uri="{FF2B5EF4-FFF2-40B4-BE49-F238E27FC236}">
                  <a16:creationId xmlns:a16="http://schemas.microsoft.com/office/drawing/2014/main" id="{00000000-0008-0000-0200-000076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283</xdr:row>
          <xdr:rowOff>28575</xdr:rowOff>
        </xdr:from>
        <xdr:to>
          <xdr:col>12</xdr:col>
          <xdr:colOff>0</xdr:colOff>
          <xdr:row>283</xdr:row>
          <xdr:rowOff>28575</xdr:rowOff>
        </xdr:to>
        <xdr:sp macro="" textlink="">
          <xdr:nvSpPr>
            <xdr:cNvPr id="1655" name="Check Box 631" hidden="1">
              <a:extLst>
                <a:ext uri="{63B3BB69-23CF-44E3-9099-C40C66FF867C}">
                  <a14:compatExt spid="_x0000_s1655"/>
                </a:ext>
                <a:ext uri="{FF2B5EF4-FFF2-40B4-BE49-F238E27FC236}">
                  <a16:creationId xmlns:a16="http://schemas.microsoft.com/office/drawing/2014/main" id="{00000000-0008-0000-0200-000077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284</xdr:row>
          <xdr:rowOff>28575</xdr:rowOff>
        </xdr:from>
        <xdr:to>
          <xdr:col>12</xdr:col>
          <xdr:colOff>0</xdr:colOff>
          <xdr:row>284</xdr:row>
          <xdr:rowOff>28575</xdr:rowOff>
        </xdr:to>
        <xdr:sp macro="" textlink="">
          <xdr:nvSpPr>
            <xdr:cNvPr id="1656" name="Check Box 632" hidden="1">
              <a:extLst>
                <a:ext uri="{63B3BB69-23CF-44E3-9099-C40C66FF867C}">
                  <a14:compatExt spid="_x0000_s1656"/>
                </a:ext>
                <a:ext uri="{FF2B5EF4-FFF2-40B4-BE49-F238E27FC236}">
                  <a16:creationId xmlns:a16="http://schemas.microsoft.com/office/drawing/2014/main" id="{00000000-0008-0000-0200-000078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285</xdr:row>
          <xdr:rowOff>28575</xdr:rowOff>
        </xdr:from>
        <xdr:to>
          <xdr:col>12</xdr:col>
          <xdr:colOff>0</xdr:colOff>
          <xdr:row>285</xdr:row>
          <xdr:rowOff>28575</xdr:rowOff>
        </xdr:to>
        <xdr:sp macro="" textlink="">
          <xdr:nvSpPr>
            <xdr:cNvPr id="1657" name="Check Box 633" hidden="1">
              <a:extLst>
                <a:ext uri="{63B3BB69-23CF-44E3-9099-C40C66FF867C}">
                  <a14:compatExt spid="_x0000_s1657"/>
                </a:ext>
                <a:ext uri="{FF2B5EF4-FFF2-40B4-BE49-F238E27FC236}">
                  <a16:creationId xmlns:a16="http://schemas.microsoft.com/office/drawing/2014/main" id="{00000000-0008-0000-0200-000079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286</xdr:row>
          <xdr:rowOff>28575</xdr:rowOff>
        </xdr:from>
        <xdr:to>
          <xdr:col>12</xdr:col>
          <xdr:colOff>0</xdr:colOff>
          <xdr:row>286</xdr:row>
          <xdr:rowOff>28575</xdr:rowOff>
        </xdr:to>
        <xdr:sp macro="" textlink="">
          <xdr:nvSpPr>
            <xdr:cNvPr id="1658" name="Check Box 634" hidden="1">
              <a:extLst>
                <a:ext uri="{63B3BB69-23CF-44E3-9099-C40C66FF867C}">
                  <a14:compatExt spid="_x0000_s1658"/>
                </a:ext>
                <a:ext uri="{FF2B5EF4-FFF2-40B4-BE49-F238E27FC236}">
                  <a16:creationId xmlns:a16="http://schemas.microsoft.com/office/drawing/2014/main" id="{00000000-0008-0000-0200-00007A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287</xdr:row>
          <xdr:rowOff>28575</xdr:rowOff>
        </xdr:from>
        <xdr:to>
          <xdr:col>12</xdr:col>
          <xdr:colOff>0</xdr:colOff>
          <xdr:row>287</xdr:row>
          <xdr:rowOff>28575</xdr:rowOff>
        </xdr:to>
        <xdr:sp macro="" textlink="">
          <xdr:nvSpPr>
            <xdr:cNvPr id="1659" name="Check Box 635" hidden="1">
              <a:extLst>
                <a:ext uri="{63B3BB69-23CF-44E3-9099-C40C66FF867C}">
                  <a14:compatExt spid="_x0000_s1659"/>
                </a:ext>
                <a:ext uri="{FF2B5EF4-FFF2-40B4-BE49-F238E27FC236}">
                  <a16:creationId xmlns:a16="http://schemas.microsoft.com/office/drawing/2014/main" id="{00000000-0008-0000-0200-00007B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288</xdr:row>
          <xdr:rowOff>28575</xdr:rowOff>
        </xdr:from>
        <xdr:to>
          <xdr:col>12</xdr:col>
          <xdr:colOff>0</xdr:colOff>
          <xdr:row>288</xdr:row>
          <xdr:rowOff>28575</xdr:rowOff>
        </xdr:to>
        <xdr:sp macro="" textlink="">
          <xdr:nvSpPr>
            <xdr:cNvPr id="1660" name="Check Box 636" hidden="1">
              <a:extLst>
                <a:ext uri="{63B3BB69-23CF-44E3-9099-C40C66FF867C}">
                  <a14:compatExt spid="_x0000_s1660"/>
                </a:ext>
                <a:ext uri="{FF2B5EF4-FFF2-40B4-BE49-F238E27FC236}">
                  <a16:creationId xmlns:a16="http://schemas.microsoft.com/office/drawing/2014/main" id="{00000000-0008-0000-0200-00007C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289</xdr:row>
          <xdr:rowOff>28575</xdr:rowOff>
        </xdr:from>
        <xdr:to>
          <xdr:col>12</xdr:col>
          <xdr:colOff>0</xdr:colOff>
          <xdr:row>289</xdr:row>
          <xdr:rowOff>28575</xdr:rowOff>
        </xdr:to>
        <xdr:sp macro="" textlink="">
          <xdr:nvSpPr>
            <xdr:cNvPr id="1661" name="Check Box 637" hidden="1">
              <a:extLst>
                <a:ext uri="{63B3BB69-23CF-44E3-9099-C40C66FF867C}">
                  <a14:compatExt spid="_x0000_s1661"/>
                </a:ext>
                <a:ext uri="{FF2B5EF4-FFF2-40B4-BE49-F238E27FC236}">
                  <a16:creationId xmlns:a16="http://schemas.microsoft.com/office/drawing/2014/main" id="{00000000-0008-0000-0200-00007D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300</xdr:row>
          <xdr:rowOff>19050</xdr:rowOff>
        </xdr:from>
        <xdr:to>
          <xdr:col>8</xdr:col>
          <xdr:colOff>19050</xdr:colOff>
          <xdr:row>301</xdr:row>
          <xdr:rowOff>19050</xdr:rowOff>
        </xdr:to>
        <xdr:sp macro="" textlink="">
          <xdr:nvSpPr>
            <xdr:cNvPr id="1662" name="Check Box 638" hidden="1">
              <a:extLst>
                <a:ext uri="{63B3BB69-23CF-44E3-9099-C40C66FF867C}">
                  <a14:compatExt spid="_x0000_s1662"/>
                </a:ext>
                <a:ext uri="{FF2B5EF4-FFF2-40B4-BE49-F238E27FC236}">
                  <a16:creationId xmlns:a16="http://schemas.microsoft.com/office/drawing/2014/main" id="{00000000-0008-0000-0200-00007E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301</xdr:row>
          <xdr:rowOff>19050</xdr:rowOff>
        </xdr:from>
        <xdr:to>
          <xdr:col>8</xdr:col>
          <xdr:colOff>19050</xdr:colOff>
          <xdr:row>302</xdr:row>
          <xdr:rowOff>19050</xdr:rowOff>
        </xdr:to>
        <xdr:sp macro="" textlink="">
          <xdr:nvSpPr>
            <xdr:cNvPr id="1663" name="Check Box 639" hidden="1">
              <a:extLst>
                <a:ext uri="{63B3BB69-23CF-44E3-9099-C40C66FF867C}">
                  <a14:compatExt spid="_x0000_s1663"/>
                </a:ext>
                <a:ext uri="{FF2B5EF4-FFF2-40B4-BE49-F238E27FC236}">
                  <a16:creationId xmlns:a16="http://schemas.microsoft.com/office/drawing/2014/main" id="{00000000-0008-0000-0200-00007F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302</xdr:row>
          <xdr:rowOff>19050</xdr:rowOff>
        </xdr:from>
        <xdr:to>
          <xdr:col>8</xdr:col>
          <xdr:colOff>19050</xdr:colOff>
          <xdr:row>303</xdr:row>
          <xdr:rowOff>19050</xdr:rowOff>
        </xdr:to>
        <xdr:sp macro="" textlink="">
          <xdr:nvSpPr>
            <xdr:cNvPr id="1664" name="Check Box 640" hidden="1">
              <a:extLst>
                <a:ext uri="{63B3BB69-23CF-44E3-9099-C40C66FF867C}">
                  <a14:compatExt spid="_x0000_s1664"/>
                </a:ext>
                <a:ext uri="{FF2B5EF4-FFF2-40B4-BE49-F238E27FC236}">
                  <a16:creationId xmlns:a16="http://schemas.microsoft.com/office/drawing/2014/main" id="{00000000-0008-0000-0200-000080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303</xdr:row>
          <xdr:rowOff>19050</xdr:rowOff>
        </xdr:from>
        <xdr:to>
          <xdr:col>8</xdr:col>
          <xdr:colOff>19050</xdr:colOff>
          <xdr:row>304</xdr:row>
          <xdr:rowOff>19050</xdr:rowOff>
        </xdr:to>
        <xdr:sp macro="" textlink="">
          <xdr:nvSpPr>
            <xdr:cNvPr id="1665" name="Check Box 641" hidden="1">
              <a:extLst>
                <a:ext uri="{63B3BB69-23CF-44E3-9099-C40C66FF867C}">
                  <a14:compatExt spid="_x0000_s1665"/>
                </a:ext>
                <a:ext uri="{FF2B5EF4-FFF2-40B4-BE49-F238E27FC236}">
                  <a16:creationId xmlns:a16="http://schemas.microsoft.com/office/drawing/2014/main" id="{00000000-0008-0000-0200-000081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304</xdr:row>
          <xdr:rowOff>19050</xdr:rowOff>
        </xdr:from>
        <xdr:to>
          <xdr:col>8</xdr:col>
          <xdr:colOff>19050</xdr:colOff>
          <xdr:row>305</xdr:row>
          <xdr:rowOff>19050</xdr:rowOff>
        </xdr:to>
        <xdr:sp macro="" textlink="">
          <xdr:nvSpPr>
            <xdr:cNvPr id="1666" name="Check Box 642" hidden="1">
              <a:extLst>
                <a:ext uri="{63B3BB69-23CF-44E3-9099-C40C66FF867C}">
                  <a14:compatExt spid="_x0000_s1666"/>
                </a:ext>
                <a:ext uri="{FF2B5EF4-FFF2-40B4-BE49-F238E27FC236}">
                  <a16:creationId xmlns:a16="http://schemas.microsoft.com/office/drawing/2014/main" id="{00000000-0008-0000-0200-000082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305</xdr:row>
          <xdr:rowOff>19050</xdr:rowOff>
        </xdr:from>
        <xdr:to>
          <xdr:col>8</xdr:col>
          <xdr:colOff>19050</xdr:colOff>
          <xdr:row>306</xdr:row>
          <xdr:rowOff>19050</xdr:rowOff>
        </xdr:to>
        <xdr:sp macro="" textlink="">
          <xdr:nvSpPr>
            <xdr:cNvPr id="1667" name="Check Box 643" hidden="1">
              <a:extLst>
                <a:ext uri="{63B3BB69-23CF-44E3-9099-C40C66FF867C}">
                  <a14:compatExt spid="_x0000_s1667"/>
                </a:ext>
                <a:ext uri="{FF2B5EF4-FFF2-40B4-BE49-F238E27FC236}">
                  <a16:creationId xmlns:a16="http://schemas.microsoft.com/office/drawing/2014/main" id="{00000000-0008-0000-0200-000083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306</xdr:row>
          <xdr:rowOff>19050</xdr:rowOff>
        </xdr:from>
        <xdr:to>
          <xdr:col>8</xdr:col>
          <xdr:colOff>19050</xdr:colOff>
          <xdr:row>307</xdr:row>
          <xdr:rowOff>19050</xdr:rowOff>
        </xdr:to>
        <xdr:sp macro="" textlink="">
          <xdr:nvSpPr>
            <xdr:cNvPr id="1668" name="Check Box 644" hidden="1">
              <a:extLst>
                <a:ext uri="{63B3BB69-23CF-44E3-9099-C40C66FF867C}">
                  <a14:compatExt spid="_x0000_s1668"/>
                </a:ext>
                <a:ext uri="{FF2B5EF4-FFF2-40B4-BE49-F238E27FC236}">
                  <a16:creationId xmlns:a16="http://schemas.microsoft.com/office/drawing/2014/main" id="{00000000-0008-0000-0200-000084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307</xdr:row>
          <xdr:rowOff>19050</xdr:rowOff>
        </xdr:from>
        <xdr:to>
          <xdr:col>8</xdr:col>
          <xdr:colOff>19050</xdr:colOff>
          <xdr:row>308</xdr:row>
          <xdr:rowOff>19050</xdr:rowOff>
        </xdr:to>
        <xdr:sp macro="" textlink="">
          <xdr:nvSpPr>
            <xdr:cNvPr id="1669" name="Check Box 645" hidden="1">
              <a:extLst>
                <a:ext uri="{63B3BB69-23CF-44E3-9099-C40C66FF867C}">
                  <a14:compatExt spid="_x0000_s1669"/>
                </a:ext>
                <a:ext uri="{FF2B5EF4-FFF2-40B4-BE49-F238E27FC236}">
                  <a16:creationId xmlns:a16="http://schemas.microsoft.com/office/drawing/2014/main" id="{00000000-0008-0000-0200-000085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308</xdr:row>
          <xdr:rowOff>19050</xdr:rowOff>
        </xdr:from>
        <xdr:to>
          <xdr:col>8</xdr:col>
          <xdr:colOff>19050</xdr:colOff>
          <xdr:row>309</xdr:row>
          <xdr:rowOff>19050</xdr:rowOff>
        </xdr:to>
        <xdr:sp macro="" textlink="">
          <xdr:nvSpPr>
            <xdr:cNvPr id="1670" name="Check Box 646" hidden="1">
              <a:extLst>
                <a:ext uri="{63B3BB69-23CF-44E3-9099-C40C66FF867C}">
                  <a14:compatExt spid="_x0000_s1670"/>
                </a:ext>
                <a:ext uri="{FF2B5EF4-FFF2-40B4-BE49-F238E27FC236}">
                  <a16:creationId xmlns:a16="http://schemas.microsoft.com/office/drawing/2014/main" id="{00000000-0008-0000-0200-000086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309</xdr:row>
          <xdr:rowOff>19050</xdr:rowOff>
        </xdr:from>
        <xdr:to>
          <xdr:col>8</xdr:col>
          <xdr:colOff>19050</xdr:colOff>
          <xdr:row>310</xdr:row>
          <xdr:rowOff>19050</xdr:rowOff>
        </xdr:to>
        <xdr:sp macro="" textlink="">
          <xdr:nvSpPr>
            <xdr:cNvPr id="1671" name="Check Box 647" hidden="1">
              <a:extLst>
                <a:ext uri="{63B3BB69-23CF-44E3-9099-C40C66FF867C}">
                  <a14:compatExt spid="_x0000_s1671"/>
                </a:ext>
                <a:ext uri="{FF2B5EF4-FFF2-40B4-BE49-F238E27FC236}">
                  <a16:creationId xmlns:a16="http://schemas.microsoft.com/office/drawing/2014/main" id="{00000000-0008-0000-0200-000087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310</xdr:row>
          <xdr:rowOff>19050</xdr:rowOff>
        </xdr:from>
        <xdr:to>
          <xdr:col>8</xdr:col>
          <xdr:colOff>19050</xdr:colOff>
          <xdr:row>311</xdr:row>
          <xdr:rowOff>19050</xdr:rowOff>
        </xdr:to>
        <xdr:sp macro="" textlink="">
          <xdr:nvSpPr>
            <xdr:cNvPr id="1672" name="Check Box 648" hidden="1">
              <a:extLst>
                <a:ext uri="{63B3BB69-23CF-44E3-9099-C40C66FF867C}">
                  <a14:compatExt spid="_x0000_s1672"/>
                </a:ext>
                <a:ext uri="{FF2B5EF4-FFF2-40B4-BE49-F238E27FC236}">
                  <a16:creationId xmlns:a16="http://schemas.microsoft.com/office/drawing/2014/main" id="{00000000-0008-0000-0200-000088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311</xdr:row>
          <xdr:rowOff>19050</xdr:rowOff>
        </xdr:from>
        <xdr:to>
          <xdr:col>8</xdr:col>
          <xdr:colOff>19050</xdr:colOff>
          <xdr:row>312</xdr:row>
          <xdr:rowOff>19050</xdr:rowOff>
        </xdr:to>
        <xdr:sp macro="" textlink="">
          <xdr:nvSpPr>
            <xdr:cNvPr id="1673" name="Check Box 649" hidden="1">
              <a:extLst>
                <a:ext uri="{63B3BB69-23CF-44E3-9099-C40C66FF867C}">
                  <a14:compatExt spid="_x0000_s1673"/>
                </a:ext>
                <a:ext uri="{FF2B5EF4-FFF2-40B4-BE49-F238E27FC236}">
                  <a16:creationId xmlns:a16="http://schemas.microsoft.com/office/drawing/2014/main" id="{00000000-0008-0000-0200-000089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312</xdr:row>
          <xdr:rowOff>19050</xdr:rowOff>
        </xdr:from>
        <xdr:to>
          <xdr:col>8</xdr:col>
          <xdr:colOff>19050</xdr:colOff>
          <xdr:row>313</xdr:row>
          <xdr:rowOff>19050</xdr:rowOff>
        </xdr:to>
        <xdr:sp macro="" textlink="">
          <xdr:nvSpPr>
            <xdr:cNvPr id="1674" name="Check Box 650" hidden="1">
              <a:extLst>
                <a:ext uri="{63B3BB69-23CF-44E3-9099-C40C66FF867C}">
                  <a14:compatExt spid="_x0000_s1674"/>
                </a:ext>
                <a:ext uri="{FF2B5EF4-FFF2-40B4-BE49-F238E27FC236}">
                  <a16:creationId xmlns:a16="http://schemas.microsoft.com/office/drawing/2014/main" id="{00000000-0008-0000-0200-00008A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313</xdr:row>
          <xdr:rowOff>19050</xdr:rowOff>
        </xdr:from>
        <xdr:to>
          <xdr:col>8</xdr:col>
          <xdr:colOff>19050</xdr:colOff>
          <xdr:row>314</xdr:row>
          <xdr:rowOff>19050</xdr:rowOff>
        </xdr:to>
        <xdr:sp macro="" textlink="">
          <xdr:nvSpPr>
            <xdr:cNvPr id="1675" name="Check Box 651" hidden="1">
              <a:extLst>
                <a:ext uri="{63B3BB69-23CF-44E3-9099-C40C66FF867C}">
                  <a14:compatExt spid="_x0000_s1675"/>
                </a:ext>
                <a:ext uri="{FF2B5EF4-FFF2-40B4-BE49-F238E27FC236}">
                  <a16:creationId xmlns:a16="http://schemas.microsoft.com/office/drawing/2014/main" id="{00000000-0008-0000-0200-00008B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314</xdr:row>
          <xdr:rowOff>19050</xdr:rowOff>
        </xdr:from>
        <xdr:to>
          <xdr:col>8</xdr:col>
          <xdr:colOff>19050</xdr:colOff>
          <xdr:row>315</xdr:row>
          <xdr:rowOff>19050</xdr:rowOff>
        </xdr:to>
        <xdr:sp macro="" textlink="">
          <xdr:nvSpPr>
            <xdr:cNvPr id="1676" name="Check Box 652" hidden="1">
              <a:extLst>
                <a:ext uri="{63B3BB69-23CF-44E3-9099-C40C66FF867C}">
                  <a14:compatExt spid="_x0000_s1676"/>
                </a:ext>
                <a:ext uri="{FF2B5EF4-FFF2-40B4-BE49-F238E27FC236}">
                  <a16:creationId xmlns:a16="http://schemas.microsoft.com/office/drawing/2014/main" id="{00000000-0008-0000-0200-00008C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315</xdr:row>
          <xdr:rowOff>19050</xdr:rowOff>
        </xdr:from>
        <xdr:to>
          <xdr:col>8</xdr:col>
          <xdr:colOff>19050</xdr:colOff>
          <xdr:row>316</xdr:row>
          <xdr:rowOff>19050</xdr:rowOff>
        </xdr:to>
        <xdr:sp macro="" textlink="">
          <xdr:nvSpPr>
            <xdr:cNvPr id="1677" name="Check Box 653" hidden="1">
              <a:extLst>
                <a:ext uri="{63B3BB69-23CF-44E3-9099-C40C66FF867C}">
                  <a14:compatExt spid="_x0000_s1677"/>
                </a:ext>
                <a:ext uri="{FF2B5EF4-FFF2-40B4-BE49-F238E27FC236}">
                  <a16:creationId xmlns:a16="http://schemas.microsoft.com/office/drawing/2014/main" id="{00000000-0008-0000-0200-00008D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316</xdr:row>
          <xdr:rowOff>19050</xdr:rowOff>
        </xdr:from>
        <xdr:to>
          <xdr:col>8</xdr:col>
          <xdr:colOff>19050</xdr:colOff>
          <xdr:row>317</xdr:row>
          <xdr:rowOff>19050</xdr:rowOff>
        </xdr:to>
        <xdr:sp macro="" textlink="">
          <xdr:nvSpPr>
            <xdr:cNvPr id="1678" name="Check Box 654" hidden="1">
              <a:extLst>
                <a:ext uri="{63B3BB69-23CF-44E3-9099-C40C66FF867C}">
                  <a14:compatExt spid="_x0000_s1678"/>
                </a:ext>
                <a:ext uri="{FF2B5EF4-FFF2-40B4-BE49-F238E27FC236}">
                  <a16:creationId xmlns:a16="http://schemas.microsoft.com/office/drawing/2014/main" id="{00000000-0008-0000-0200-00008E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317</xdr:row>
          <xdr:rowOff>19050</xdr:rowOff>
        </xdr:from>
        <xdr:to>
          <xdr:col>8</xdr:col>
          <xdr:colOff>19050</xdr:colOff>
          <xdr:row>318</xdr:row>
          <xdr:rowOff>19050</xdr:rowOff>
        </xdr:to>
        <xdr:sp macro="" textlink="">
          <xdr:nvSpPr>
            <xdr:cNvPr id="1679" name="Check Box 655" hidden="1">
              <a:extLst>
                <a:ext uri="{63B3BB69-23CF-44E3-9099-C40C66FF867C}">
                  <a14:compatExt spid="_x0000_s1679"/>
                </a:ext>
                <a:ext uri="{FF2B5EF4-FFF2-40B4-BE49-F238E27FC236}">
                  <a16:creationId xmlns:a16="http://schemas.microsoft.com/office/drawing/2014/main" id="{00000000-0008-0000-0200-00008F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318</xdr:row>
          <xdr:rowOff>19050</xdr:rowOff>
        </xdr:from>
        <xdr:to>
          <xdr:col>8</xdr:col>
          <xdr:colOff>19050</xdr:colOff>
          <xdr:row>320</xdr:row>
          <xdr:rowOff>9525</xdr:rowOff>
        </xdr:to>
        <xdr:sp macro="" textlink="">
          <xdr:nvSpPr>
            <xdr:cNvPr id="1680" name="Check Box 656" hidden="1">
              <a:extLst>
                <a:ext uri="{63B3BB69-23CF-44E3-9099-C40C66FF867C}">
                  <a14:compatExt spid="_x0000_s1680"/>
                </a:ext>
                <a:ext uri="{FF2B5EF4-FFF2-40B4-BE49-F238E27FC236}">
                  <a16:creationId xmlns:a16="http://schemas.microsoft.com/office/drawing/2014/main" id="{00000000-0008-0000-0200-000090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358</xdr:row>
          <xdr:rowOff>28575</xdr:rowOff>
        </xdr:from>
        <xdr:to>
          <xdr:col>12</xdr:col>
          <xdr:colOff>0</xdr:colOff>
          <xdr:row>358</xdr:row>
          <xdr:rowOff>28575</xdr:rowOff>
        </xdr:to>
        <xdr:sp macro="" textlink="">
          <xdr:nvSpPr>
            <xdr:cNvPr id="1681" name="Check Box 657" hidden="1">
              <a:extLst>
                <a:ext uri="{63B3BB69-23CF-44E3-9099-C40C66FF867C}">
                  <a14:compatExt spid="_x0000_s1681"/>
                </a:ext>
                <a:ext uri="{FF2B5EF4-FFF2-40B4-BE49-F238E27FC236}">
                  <a16:creationId xmlns:a16="http://schemas.microsoft.com/office/drawing/2014/main" id="{00000000-0008-0000-0200-000091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359</xdr:row>
          <xdr:rowOff>28575</xdr:rowOff>
        </xdr:from>
        <xdr:to>
          <xdr:col>12</xdr:col>
          <xdr:colOff>0</xdr:colOff>
          <xdr:row>359</xdr:row>
          <xdr:rowOff>28575</xdr:rowOff>
        </xdr:to>
        <xdr:sp macro="" textlink="">
          <xdr:nvSpPr>
            <xdr:cNvPr id="1682" name="Check Box 658" hidden="1">
              <a:extLst>
                <a:ext uri="{63B3BB69-23CF-44E3-9099-C40C66FF867C}">
                  <a14:compatExt spid="_x0000_s1682"/>
                </a:ext>
                <a:ext uri="{FF2B5EF4-FFF2-40B4-BE49-F238E27FC236}">
                  <a16:creationId xmlns:a16="http://schemas.microsoft.com/office/drawing/2014/main" id="{00000000-0008-0000-0200-000092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360</xdr:row>
          <xdr:rowOff>28575</xdr:rowOff>
        </xdr:from>
        <xdr:to>
          <xdr:col>12</xdr:col>
          <xdr:colOff>0</xdr:colOff>
          <xdr:row>360</xdr:row>
          <xdr:rowOff>28575</xdr:rowOff>
        </xdr:to>
        <xdr:sp macro="" textlink="">
          <xdr:nvSpPr>
            <xdr:cNvPr id="1683" name="Check Box 659" hidden="1">
              <a:extLst>
                <a:ext uri="{63B3BB69-23CF-44E3-9099-C40C66FF867C}">
                  <a14:compatExt spid="_x0000_s1683"/>
                </a:ext>
                <a:ext uri="{FF2B5EF4-FFF2-40B4-BE49-F238E27FC236}">
                  <a16:creationId xmlns:a16="http://schemas.microsoft.com/office/drawing/2014/main" id="{00000000-0008-0000-0200-000093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361</xdr:row>
          <xdr:rowOff>28575</xdr:rowOff>
        </xdr:from>
        <xdr:to>
          <xdr:col>12</xdr:col>
          <xdr:colOff>0</xdr:colOff>
          <xdr:row>361</xdr:row>
          <xdr:rowOff>28575</xdr:rowOff>
        </xdr:to>
        <xdr:sp macro="" textlink="">
          <xdr:nvSpPr>
            <xdr:cNvPr id="1684" name="Check Box 660" hidden="1">
              <a:extLst>
                <a:ext uri="{63B3BB69-23CF-44E3-9099-C40C66FF867C}">
                  <a14:compatExt spid="_x0000_s1684"/>
                </a:ext>
                <a:ext uri="{FF2B5EF4-FFF2-40B4-BE49-F238E27FC236}">
                  <a16:creationId xmlns:a16="http://schemas.microsoft.com/office/drawing/2014/main" id="{00000000-0008-0000-0200-000094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362</xdr:row>
          <xdr:rowOff>28575</xdr:rowOff>
        </xdr:from>
        <xdr:to>
          <xdr:col>12</xdr:col>
          <xdr:colOff>0</xdr:colOff>
          <xdr:row>362</xdr:row>
          <xdr:rowOff>28575</xdr:rowOff>
        </xdr:to>
        <xdr:sp macro="" textlink="">
          <xdr:nvSpPr>
            <xdr:cNvPr id="1685" name="Check Box 661" hidden="1">
              <a:extLst>
                <a:ext uri="{63B3BB69-23CF-44E3-9099-C40C66FF867C}">
                  <a14:compatExt spid="_x0000_s1685"/>
                </a:ext>
                <a:ext uri="{FF2B5EF4-FFF2-40B4-BE49-F238E27FC236}">
                  <a16:creationId xmlns:a16="http://schemas.microsoft.com/office/drawing/2014/main" id="{00000000-0008-0000-0200-000095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363</xdr:row>
          <xdr:rowOff>28575</xdr:rowOff>
        </xdr:from>
        <xdr:to>
          <xdr:col>12</xdr:col>
          <xdr:colOff>0</xdr:colOff>
          <xdr:row>363</xdr:row>
          <xdr:rowOff>28575</xdr:rowOff>
        </xdr:to>
        <xdr:sp macro="" textlink="">
          <xdr:nvSpPr>
            <xdr:cNvPr id="1686" name="Check Box 662" hidden="1">
              <a:extLst>
                <a:ext uri="{63B3BB69-23CF-44E3-9099-C40C66FF867C}">
                  <a14:compatExt spid="_x0000_s1686"/>
                </a:ext>
                <a:ext uri="{FF2B5EF4-FFF2-40B4-BE49-F238E27FC236}">
                  <a16:creationId xmlns:a16="http://schemas.microsoft.com/office/drawing/2014/main" id="{00000000-0008-0000-0200-000096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364</xdr:row>
          <xdr:rowOff>28575</xdr:rowOff>
        </xdr:from>
        <xdr:to>
          <xdr:col>12</xdr:col>
          <xdr:colOff>0</xdr:colOff>
          <xdr:row>364</xdr:row>
          <xdr:rowOff>28575</xdr:rowOff>
        </xdr:to>
        <xdr:sp macro="" textlink="">
          <xdr:nvSpPr>
            <xdr:cNvPr id="1687" name="Check Box 663" hidden="1">
              <a:extLst>
                <a:ext uri="{63B3BB69-23CF-44E3-9099-C40C66FF867C}">
                  <a14:compatExt spid="_x0000_s1687"/>
                </a:ext>
                <a:ext uri="{FF2B5EF4-FFF2-40B4-BE49-F238E27FC236}">
                  <a16:creationId xmlns:a16="http://schemas.microsoft.com/office/drawing/2014/main" id="{00000000-0008-0000-0200-000097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365</xdr:row>
          <xdr:rowOff>28575</xdr:rowOff>
        </xdr:from>
        <xdr:to>
          <xdr:col>12</xdr:col>
          <xdr:colOff>0</xdr:colOff>
          <xdr:row>365</xdr:row>
          <xdr:rowOff>28575</xdr:rowOff>
        </xdr:to>
        <xdr:sp macro="" textlink="">
          <xdr:nvSpPr>
            <xdr:cNvPr id="1688" name="Check Box 664" hidden="1">
              <a:extLst>
                <a:ext uri="{63B3BB69-23CF-44E3-9099-C40C66FF867C}">
                  <a14:compatExt spid="_x0000_s1688"/>
                </a:ext>
                <a:ext uri="{FF2B5EF4-FFF2-40B4-BE49-F238E27FC236}">
                  <a16:creationId xmlns:a16="http://schemas.microsoft.com/office/drawing/2014/main" id="{00000000-0008-0000-0200-000098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366</xdr:row>
          <xdr:rowOff>28575</xdr:rowOff>
        </xdr:from>
        <xdr:to>
          <xdr:col>12</xdr:col>
          <xdr:colOff>0</xdr:colOff>
          <xdr:row>366</xdr:row>
          <xdr:rowOff>28575</xdr:rowOff>
        </xdr:to>
        <xdr:sp macro="" textlink="">
          <xdr:nvSpPr>
            <xdr:cNvPr id="1689" name="Check Box 665" hidden="1">
              <a:extLst>
                <a:ext uri="{63B3BB69-23CF-44E3-9099-C40C66FF867C}">
                  <a14:compatExt spid="_x0000_s1689"/>
                </a:ext>
                <a:ext uri="{FF2B5EF4-FFF2-40B4-BE49-F238E27FC236}">
                  <a16:creationId xmlns:a16="http://schemas.microsoft.com/office/drawing/2014/main" id="{00000000-0008-0000-0200-000099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367</xdr:row>
          <xdr:rowOff>28575</xdr:rowOff>
        </xdr:from>
        <xdr:to>
          <xdr:col>12</xdr:col>
          <xdr:colOff>0</xdr:colOff>
          <xdr:row>367</xdr:row>
          <xdr:rowOff>28575</xdr:rowOff>
        </xdr:to>
        <xdr:sp macro="" textlink="">
          <xdr:nvSpPr>
            <xdr:cNvPr id="1690" name="Check Box 666" hidden="1">
              <a:extLst>
                <a:ext uri="{63B3BB69-23CF-44E3-9099-C40C66FF867C}">
                  <a14:compatExt spid="_x0000_s1690"/>
                </a:ext>
                <a:ext uri="{FF2B5EF4-FFF2-40B4-BE49-F238E27FC236}">
                  <a16:creationId xmlns:a16="http://schemas.microsoft.com/office/drawing/2014/main" id="{00000000-0008-0000-0200-00009A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368</xdr:row>
          <xdr:rowOff>28575</xdr:rowOff>
        </xdr:from>
        <xdr:to>
          <xdr:col>12</xdr:col>
          <xdr:colOff>0</xdr:colOff>
          <xdr:row>368</xdr:row>
          <xdr:rowOff>28575</xdr:rowOff>
        </xdr:to>
        <xdr:sp macro="" textlink="">
          <xdr:nvSpPr>
            <xdr:cNvPr id="1691" name="Check Box 667" hidden="1">
              <a:extLst>
                <a:ext uri="{63B3BB69-23CF-44E3-9099-C40C66FF867C}">
                  <a14:compatExt spid="_x0000_s1691"/>
                </a:ext>
                <a:ext uri="{FF2B5EF4-FFF2-40B4-BE49-F238E27FC236}">
                  <a16:creationId xmlns:a16="http://schemas.microsoft.com/office/drawing/2014/main" id="{00000000-0008-0000-0200-00009B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369</xdr:row>
          <xdr:rowOff>28575</xdr:rowOff>
        </xdr:from>
        <xdr:to>
          <xdr:col>12</xdr:col>
          <xdr:colOff>0</xdr:colOff>
          <xdr:row>369</xdr:row>
          <xdr:rowOff>28575</xdr:rowOff>
        </xdr:to>
        <xdr:sp macro="" textlink="">
          <xdr:nvSpPr>
            <xdr:cNvPr id="1692" name="Check Box 668" hidden="1">
              <a:extLst>
                <a:ext uri="{63B3BB69-23CF-44E3-9099-C40C66FF867C}">
                  <a14:compatExt spid="_x0000_s1692"/>
                </a:ext>
                <a:ext uri="{FF2B5EF4-FFF2-40B4-BE49-F238E27FC236}">
                  <a16:creationId xmlns:a16="http://schemas.microsoft.com/office/drawing/2014/main" id="{00000000-0008-0000-0200-00009C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370</xdr:row>
          <xdr:rowOff>28575</xdr:rowOff>
        </xdr:from>
        <xdr:to>
          <xdr:col>12</xdr:col>
          <xdr:colOff>0</xdr:colOff>
          <xdr:row>370</xdr:row>
          <xdr:rowOff>28575</xdr:rowOff>
        </xdr:to>
        <xdr:sp macro="" textlink="">
          <xdr:nvSpPr>
            <xdr:cNvPr id="1693" name="Check Box 669" hidden="1">
              <a:extLst>
                <a:ext uri="{63B3BB69-23CF-44E3-9099-C40C66FF867C}">
                  <a14:compatExt spid="_x0000_s1693"/>
                </a:ext>
                <a:ext uri="{FF2B5EF4-FFF2-40B4-BE49-F238E27FC236}">
                  <a16:creationId xmlns:a16="http://schemas.microsoft.com/office/drawing/2014/main" id="{00000000-0008-0000-0200-00009D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371</xdr:row>
          <xdr:rowOff>28575</xdr:rowOff>
        </xdr:from>
        <xdr:to>
          <xdr:col>12</xdr:col>
          <xdr:colOff>0</xdr:colOff>
          <xdr:row>371</xdr:row>
          <xdr:rowOff>28575</xdr:rowOff>
        </xdr:to>
        <xdr:sp macro="" textlink="">
          <xdr:nvSpPr>
            <xdr:cNvPr id="1694" name="Check Box 670" hidden="1">
              <a:extLst>
                <a:ext uri="{63B3BB69-23CF-44E3-9099-C40C66FF867C}">
                  <a14:compatExt spid="_x0000_s1694"/>
                </a:ext>
                <a:ext uri="{FF2B5EF4-FFF2-40B4-BE49-F238E27FC236}">
                  <a16:creationId xmlns:a16="http://schemas.microsoft.com/office/drawing/2014/main" id="{00000000-0008-0000-0200-00009E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372</xdr:row>
          <xdr:rowOff>28575</xdr:rowOff>
        </xdr:from>
        <xdr:to>
          <xdr:col>12</xdr:col>
          <xdr:colOff>0</xdr:colOff>
          <xdr:row>372</xdr:row>
          <xdr:rowOff>28575</xdr:rowOff>
        </xdr:to>
        <xdr:sp macro="" textlink="">
          <xdr:nvSpPr>
            <xdr:cNvPr id="1695" name="Check Box 671" hidden="1">
              <a:extLst>
                <a:ext uri="{63B3BB69-23CF-44E3-9099-C40C66FF867C}">
                  <a14:compatExt spid="_x0000_s1695"/>
                </a:ext>
                <a:ext uri="{FF2B5EF4-FFF2-40B4-BE49-F238E27FC236}">
                  <a16:creationId xmlns:a16="http://schemas.microsoft.com/office/drawing/2014/main" id="{00000000-0008-0000-0200-00009F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373</xdr:row>
          <xdr:rowOff>28575</xdr:rowOff>
        </xdr:from>
        <xdr:to>
          <xdr:col>12</xdr:col>
          <xdr:colOff>0</xdr:colOff>
          <xdr:row>373</xdr:row>
          <xdr:rowOff>28575</xdr:rowOff>
        </xdr:to>
        <xdr:sp macro="" textlink="">
          <xdr:nvSpPr>
            <xdr:cNvPr id="1696" name="Check Box 672" hidden="1">
              <a:extLst>
                <a:ext uri="{63B3BB69-23CF-44E3-9099-C40C66FF867C}">
                  <a14:compatExt spid="_x0000_s1696"/>
                </a:ext>
                <a:ext uri="{FF2B5EF4-FFF2-40B4-BE49-F238E27FC236}">
                  <a16:creationId xmlns:a16="http://schemas.microsoft.com/office/drawing/2014/main" id="{00000000-0008-0000-0200-0000A0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374</xdr:row>
          <xdr:rowOff>28575</xdr:rowOff>
        </xdr:from>
        <xdr:to>
          <xdr:col>12</xdr:col>
          <xdr:colOff>0</xdr:colOff>
          <xdr:row>374</xdr:row>
          <xdr:rowOff>28575</xdr:rowOff>
        </xdr:to>
        <xdr:sp macro="" textlink="">
          <xdr:nvSpPr>
            <xdr:cNvPr id="1697" name="Check Box 673" hidden="1">
              <a:extLst>
                <a:ext uri="{63B3BB69-23CF-44E3-9099-C40C66FF867C}">
                  <a14:compatExt spid="_x0000_s1697"/>
                </a:ext>
                <a:ext uri="{FF2B5EF4-FFF2-40B4-BE49-F238E27FC236}">
                  <a16:creationId xmlns:a16="http://schemas.microsoft.com/office/drawing/2014/main" id="{00000000-0008-0000-0200-0000A1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375</xdr:row>
          <xdr:rowOff>28575</xdr:rowOff>
        </xdr:from>
        <xdr:to>
          <xdr:col>12</xdr:col>
          <xdr:colOff>0</xdr:colOff>
          <xdr:row>375</xdr:row>
          <xdr:rowOff>28575</xdr:rowOff>
        </xdr:to>
        <xdr:sp macro="" textlink="">
          <xdr:nvSpPr>
            <xdr:cNvPr id="1698" name="Check Box 674" hidden="1">
              <a:extLst>
                <a:ext uri="{63B3BB69-23CF-44E3-9099-C40C66FF867C}">
                  <a14:compatExt spid="_x0000_s1698"/>
                </a:ext>
                <a:ext uri="{FF2B5EF4-FFF2-40B4-BE49-F238E27FC236}">
                  <a16:creationId xmlns:a16="http://schemas.microsoft.com/office/drawing/2014/main" id="{00000000-0008-0000-0200-0000A2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376</xdr:row>
          <xdr:rowOff>28575</xdr:rowOff>
        </xdr:from>
        <xdr:to>
          <xdr:col>12</xdr:col>
          <xdr:colOff>0</xdr:colOff>
          <xdr:row>376</xdr:row>
          <xdr:rowOff>28575</xdr:rowOff>
        </xdr:to>
        <xdr:sp macro="" textlink="">
          <xdr:nvSpPr>
            <xdr:cNvPr id="1699" name="Check Box 675" hidden="1">
              <a:extLst>
                <a:ext uri="{63B3BB69-23CF-44E3-9099-C40C66FF867C}">
                  <a14:compatExt spid="_x0000_s1699"/>
                </a:ext>
                <a:ext uri="{FF2B5EF4-FFF2-40B4-BE49-F238E27FC236}">
                  <a16:creationId xmlns:a16="http://schemas.microsoft.com/office/drawing/2014/main" id="{00000000-0008-0000-0200-0000A3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38100</xdr:colOff>
          <xdr:row>5</xdr:row>
          <xdr:rowOff>19050</xdr:rowOff>
        </xdr:from>
        <xdr:to>
          <xdr:col>22</xdr:col>
          <xdr:colOff>57150</xdr:colOff>
          <xdr:row>5</xdr:row>
          <xdr:rowOff>209550</xdr:rowOff>
        </xdr:to>
        <xdr:sp macro="" textlink="">
          <xdr:nvSpPr>
            <xdr:cNvPr id="1700" name="Check Box 676" hidden="1">
              <a:extLst>
                <a:ext uri="{63B3BB69-23CF-44E3-9099-C40C66FF867C}">
                  <a14:compatExt spid="_x0000_s1700"/>
                </a:ext>
                <a:ext uri="{FF2B5EF4-FFF2-40B4-BE49-F238E27FC236}">
                  <a16:creationId xmlns:a16="http://schemas.microsoft.com/office/drawing/2014/main" id="{00000000-0008-0000-0200-0000A4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9525</xdr:colOff>
          <xdr:row>1</xdr:row>
          <xdr:rowOff>19050</xdr:rowOff>
        </xdr:from>
        <xdr:to>
          <xdr:col>14</xdr:col>
          <xdr:colOff>0</xdr:colOff>
          <xdr:row>3</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Labels</a:t>
              </a:r>
            </a:p>
          </xdr:txBody>
        </xdr:sp>
        <xdr:clientData fLocksWithSheet="0"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2</xdr:col>
      <xdr:colOff>333375</xdr:colOff>
      <xdr:row>0</xdr:row>
      <xdr:rowOff>0</xdr:rowOff>
    </xdr:from>
    <xdr:to>
      <xdr:col>16</xdr:col>
      <xdr:colOff>29522</xdr:colOff>
      <xdr:row>0</xdr:row>
      <xdr:rowOff>733527</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66900" y="0"/>
          <a:ext cx="6782747" cy="733527"/>
        </a:xfrm>
        <a:prstGeom prst="rect">
          <a:avLst/>
        </a:prstGeom>
      </xdr:spPr>
    </xdr:pic>
    <xdr:clientData/>
  </xdr:twoCellAnchor>
  <xdr:twoCellAnchor editAs="oneCell">
    <xdr:from>
      <xdr:col>0</xdr:col>
      <xdr:colOff>600075</xdr:colOff>
      <xdr:row>23</xdr:row>
      <xdr:rowOff>142875</xdr:rowOff>
    </xdr:from>
    <xdr:to>
      <xdr:col>17</xdr:col>
      <xdr:colOff>334724</xdr:colOff>
      <xdr:row>23</xdr:row>
      <xdr:rowOff>685876</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00075" y="7124700"/>
          <a:ext cx="9659699" cy="543001"/>
        </a:xfrm>
        <a:prstGeom prst="rect">
          <a:avLst/>
        </a:prstGeom>
      </xdr:spPr>
    </xdr:pic>
    <xdr:clientData/>
  </xdr:twoCellAnchor>
  <xdr:oneCellAnchor>
    <xdr:from>
      <xdr:col>2</xdr:col>
      <xdr:colOff>228599</xdr:colOff>
      <xdr:row>29</xdr:row>
      <xdr:rowOff>9525</xdr:rowOff>
    </xdr:from>
    <xdr:ext cx="7296151" cy="733527"/>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62124" y="8248650"/>
          <a:ext cx="7296151" cy="733527"/>
        </a:xfrm>
        <a:prstGeom prst="rect">
          <a:avLst/>
        </a:prstGeom>
      </xdr:spPr>
    </xdr:pic>
    <xdr:clientData/>
  </xdr:oneCellAnchor>
  <xdr:oneCellAnchor>
    <xdr:from>
      <xdr:col>0</xdr:col>
      <xdr:colOff>571500</xdr:colOff>
      <xdr:row>52</xdr:row>
      <xdr:rowOff>142875</xdr:rowOff>
    </xdr:from>
    <xdr:ext cx="10020300" cy="543001"/>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71500" y="15392400"/>
          <a:ext cx="10020300" cy="543001"/>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buser1\welscfm$\Desktop\Blank%201795%20Blind%20Lis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id List"/>
      <sheetName val="Eid Tags"/>
      <sheetName val="Blind List"/>
      <sheetName val="Eid List Entry"/>
      <sheetName val="Blind List Entry"/>
      <sheetName val="Filter"/>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17" Type="http://schemas.openxmlformats.org/officeDocument/2006/relationships/ctrlProp" Target="../ctrlProps/ctrlProp114.xml"/><Relationship Id="rId299" Type="http://schemas.openxmlformats.org/officeDocument/2006/relationships/ctrlProp" Target="../ctrlProps/ctrlProp296.xml"/><Relationship Id="rId303" Type="http://schemas.openxmlformats.org/officeDocument/2006/relationships/ctrlProp" Target="../ctrlProps/ctrlProp300.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91" Type="http://schemas.openxmlformats.org/officeDocument/2006/relationships/ctrlProp" Target="../ctrlProps/ctrlProp188.xml"/><Relationship Id="rId205" Type="http://schemas.openxmlformats.org/officeDocument/2006/relationships/ctrlProp" Target="../ctrlProps/ctrlProp202.xml"/><Relationship Id="rId226" Type="http://schemas.openxmlformats.org/officeDocument/2006/relationships/ctrlProp" Target="../ctrlProps/ctrlProp223.xml"/><Relationship Id="rId247" Type="http://schemas.openxmlformats.org/officeDocument/2006/relationships/ctrlProp" Target="../ctrlProps/ctrlProp244.xml"/><Relationship Id="rId107" Type="http://schemas.openxmlformats.org/officeDocument/2006/relationships/ctrlProp" Target="../ctrlProps/ctrlProp104.xml"/><Relationship Id="rId268" Type="http://schemas.openxmlformats.org/officeDocument/2006/relationships/ctrlProp" Target="../ctrlProps/ctrlProp265.xml"/><Relationship Id="rId289" Type="http://schemas.openxmlformats.org/officeDocument/2006/relationships/ctrlProp" Target="../ctrlProps/ctrlProp286.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181" Type="http://schemas.openxmlformats.org/officeDocument/2006/relationships/ctrlProp" Target="../ctrlProps/ctrlProp178.xml"/><Relationship Id="rId216" Type="http://schemas.openxmlformats.org/officeDocument/2006/relationships/ctrlProp" Target="../ctrlProps/ctrlProp213.xml"/><Relationship Id="rId237" Type="http://schemas.openxmlformats.org/officeDocument/2006/relationships/ctrlProp" Target="../ctrlProps/ctrlProp234.xml"/><Relationship Id="rId258" Type="http://schemas.openxmlformats.org/officeDocument/2006/relationships/ctrlProp" Target="../ctrlProps/ctrlProp255.xml"/><Relationship Id="rId279" Type="http://schemas.openxmlformats.org/officeDocument/2006/relationships/ctrlProp" Target="../ctrlProps/ctrlProp276.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290" Type="http://schemas.openxmlformats.org/officeDocument/2006/relationships/ctrlProp" Target="../ctrlProps/ctrlProp287.xml"/><Relationship Id="rId304" Type="http://schemas.openxmlformats.org/officeDocument/2006/relationships/ctrlProp" Target="../ctrlProps/ctrlProp301.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trlProp" Target="../ctrlProps/ctrlProp168.xml"/><Relationship Id="rId192" Type="http://schemas.openxmlformats.org/officeDocument/2006/relationships/ctrlProp" Target="../ctrlProps/ctrlProp189.xml"/><Relationship Id="rId206" Type="http://schemas.openxmlformats.org/officeDocument/2006/relationships/ctrlProp" Target="../ctrlProps/ctrlProp203.xml"/><Relationship Id="rId227" Type="http://schemas.openxmlformats.org/officeDocument/2006/relationships/ctrlProp" Target="../ctrlProps/ctrlProp224.xml"/><Relationship Id="rId248" Type="http://schemas.openxmlformats.org/officeDocument/2006/relationships/ctrlProp" Target="../ctrlProps/ctrlProp245.xml"/><Relationship Id="rId269" Type="http://schemas.openxmlformats.org/officeDocument/2006/relationships/ctrlProp" Target="../ctrlProps/ctrlProp266.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280" Type="http://schemas.openxmlformats.org/officeDocument/2006/relationships/ctrlProp" Target="../ctrlProps/ctrlProp277.xml"/><Relationship Id="rId54" Type="http://schemas.openxmlformats.org/officeDocument/2006/relationships/ctrlProp" Target="../ctrlProps/ctrlProp51.xml"/><Relationship Id="rId75" Type="http://schemas.openxmlformats.org/officeDocument/2006/relationships/ctrlProp" Target="../ctrlProps/ctrlProp72.xml"/><Relationship Id="rId96" Type="http://schemas.openxmlformats.org/officeDocument/2006/relationships/ctrlProp" Target="../ctrlProps/ctrlProp93.xml"/><Relationship Id="rId140" Type="http://schemas.openxmlformats.org/officeDocument/2006/relationships/ctrlProp" Target="../ctrlProps/ctrlProp137.xml"/><Relationship Id="rId161" Type="http://schemas.openxmlformats.org/officeDocument/2006/relationships/ctrlProp" Target="../ctrlProps/ctrlProp158.xml"/><Relationship Id="rId182" Type="http://schemas.openxmlformats.org/officeDocument/2006/relationships/ctrlProp" Target="../ctrlProps/ctrlProp179.xml"/><Relationship Id="rId217" Type="http://schemas.openxmlformats.org/officeDocument/2006/relationships/ctrlProp" Target="../ctrlProps/ctrlProp214.xml"/><Relationship Id="rId6" Type="http://schemas.openxmlformats.org/officeDocument/2006/relationships/ctrlProp" Target="../ctrlProps/ctrlProp3.xml"/><Relationship Id="rId238" Type="http://schemas.openxmlformats.org/officeDocument/2006/relationships/ctrlProp" Target="../ctrlProps/ctrlProp235.xml"/><Relationship Id="rId259" Type="http://schemas.openxmlformats.org/officeDocument/2006/relationships/ctrlProp" Target="../ctrlProps/ctrlProp256.xml"/><Relationship Id="rId23" Type="http://schemas.openxmlformats.org/officeDocument/2006/relationships/ctrlProp" Target="../ctrlProps/ctrlProp20.xml"/><Relationship Id="rId119" Type="http://schemas.openxmlformats.org/officeDocument/2006/relationships/ctrlProp" Target="../ctrlProps/ctrlProp116.xml"/><Relationship Id="rId270" Type="http://schemas.openxmlformats.org/officeDocument/2006/relationships/ctrlProp" Target="../ctrlProps/ctrlProp267.xml"/><Relationship Id="rId291" Type="http://schemas.openxmlformats.org/officeDocument/2006/relationships/ctrlProp" Target="../ctrlProps/ctrlProp288.xml"/><Relationship Id="rId305" Type="http://schemas.openxmlformats.org/officeDocument/2006/relationships/ctrlProp" Target="../ctrlProps/ctrlProp302.xml"/><Relationship Id="rId44" Type="http://schemas.openxmlformats.org/officeDocument/2006/relationships/ctrlProp" Target="../ctrlProps/ctrlProp41.xml"/><Relationship Id="rId65" Type="http://schemas.openxmlformats.org/officeDocument/2006/relationships/ctrlProp" Target="../ctrlProps/ctrlProp62.xml"/><Relationship Id="rId86" Type="http://schemas.openxmlformats.org/officeDocument/2006/relationships/ctrlProp" Target="../ctrlProps/ctrlProp83.xml"/><Relationship Id="rId130" Type="http://schemas.openxmlformats.org/officeDocument/2006/relationships/ctrlProp" Target="../ctrlProps/ctrlProp127.xml"/><Relationship Id="rId151" Type="http://schemas.openxmlformats.org/officeDocument/2006/relationships/ctrlProp" Target="../ctrlProps/ctrlProp148.xml"/><Relationship Id="rId172" Type="http://schemas.openxmlformats.org/officeDocument/2006/relationships/ctrlProp" Target="../ctrlProps/ctrlProp169.xml"/><Relationship Id="rId193" Type="http://schemas.openxmlformats.org/officeDocument/2006/relationships/ctrlProp" Target="../ctrlProps/ctrlProp190.xml"/><Relationship Id="rId207" Type="http://schemas.openxmlformats.org/officeDocument/2006/relationships/ctrlProp" Target="../ctrlProps/ctrlProp204.xml"/><Relationship Id="rId228" Type="http://schemas.openxmlformats.org/officeDocument/2006/relationships/ctrlProp" Target="../ctrlProps/ctrlProp225.xml"/><Relationship Id="rId249" Type="http://schemas.openxmlformats.org/officeDocument/2006/relationships/ctrlProp" Target="../ctrlProps/ctrlProp246.xml"/><Relationship Id="rId13" Type="http://schemas.openxmlformats.org/officeDocument/2006/relationships/ctrlProp" Target="../ctrlProps/ctrlProp10.xml"/><Relationship Id="rId109" Type="http://schemas.openxmlformats.org/officeDocument/2006/relationships/ctrlProp" Target="../ctrlProps/ctrlProp106.xml"/><Relationship Id="rId260" Type="http://schemas.openxmlformats.org/officeDocument/2006/relationships/ctrlProp" Target="../ctrlProps/ctrlProp257.xml"/><Relationship Id="rId281" Type="http://schemas.openxmlformats.org/officeDocument/2006/relationships/ctrlProp" Target="../ctrlProps/ctrlProp278.xml"/><Relationship Id="rId34" Type="http://schemas.openxmlformats.org/officeDocument/2006/relationships/ctrlProp" Target="../ctrlProps/ctrlProp31.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20" Type="http://schemas.openxmlformats.org/officeDocument/2006/relationships/ctrlProp" Target="../ctrlProps/ctrlProp117.xml"/><Relationship Id="rId141" Type="http://schemas.openxmlformats.org/officeDocument/2006/relationships/ctrlProp" Target="../ctrlProps/ctrlProp138.xml"/><Relationship Id="rId7" Type="http://schemas.openxmlformats.org/officeDocument/2006/relationships/ctrlProp" Target="../ctrlProps/ctrlProp4.xml"/><Relationship Id="rId162" Type="http://schemas.openxmlformats.org/officeDocument/2006/relationships/ctrlProp" Target="../ctrlProps/ctrlProp159.xml"/><Relationship Id="rId183" Type="http://schemas.openxmlformats.org/officeDocument/2006/relationships/ctrlProp" Target="../ctrlProps/ctrlProp180.xml"/><Relationship Id="rId218" Type="http://schemas.openxmlformats.org/officeDocument/2006/relationships/ctrlProp" Target="../ctrlProps/ctrlProp215.xml"/><Relationship Id="rId239" Type="http://schemas.openxmlformats.org/officeDocument/2006/relationships/ctrlProp" Target="../ctrlProps/ctrlProp236.xml"/><Relationship Id="rId250" Type="http://schemas.openxmlformats.org/officeDocument/2006/relationships/ctrlProp" Target="../ctrlProps/ctrlProp247.xml"/><Relationship Id="rId271" Type="http://schemas.openxmlformats.org/officeDocument/2006/relationships/ctrlProp" Target="../ctrlProps/ctrlProp268.xml"/><Relationship Id="rId292" Type="http://schemas.openxmlformats.org/officeDocument/2006/relationships/ctrlProp" Target="../ctrlProps/ctrlProp289.xml"/><Relationship Id="rId306" Type="http://schemas.openxmlformats.org/officeDocument/2006/relationships/ctrlProp" Target="../ctrlProps/ctrlProp303.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301" Type="http://schemas.openxmlformats.org/officeDocument/2006/relationships/ctrlProp" Target="../ctrlProps/ctrlProp298.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73" Type="http://schemas.openxmlformats.org/officeDocument/2006/relationships/ctrlProp" Target="../ctrlProps/ctrlProp170.xml"/><Relationship Id="rId194" Type="http://schemas.openxmlformats.org/officeDocument/2006/relationships/ctrlProp" Target="../ctrlProps/ctrlProp191.xml"/><Relationship Id="rId199" Type="http://schemas.openxmlformats.org/officeDocument/2006/relationships/ctrlProp" Target="../ctrlProps/ctrlProp196.xml"/><Relationship Id="rId203" Type="http://schemas.openxmlformats.org/officeDocument/2006/relationships/ctrlProp" Target="../ctrlProps/ctrlProp200.xml"/><Relationship Id="rId208" Type="http://schemas.openxmlformats.org/officeDocument/2006/relationships/ctrlProp" Target="../ctrlProps/ctrlProp205.xml"/><Relationship Id="rId229" Type="http://schemas.openxmlformats.org/officeDocument/2006/relationships/ctrlProp" Target="../ctrlProps/ctrlProp226.xml"/><Relationship Id="rId19" Type="http://schemas.openxmlformats.org/officeDocument/2006/relationships/ctrlProp" Target="../ctrlProps/ctrlProp16.xml"/><Relationship Id="rId224" Type="http://schemas.openxmlformats.org/officeDocument/2006/relationships/ctrlProp" Target="../ctrlProps/ctrlProp221.xml"/><Relationship Id="rId240" Type="http://schemas.openxmlformats.org/officeDocument/2006/relationships/ctrlProp" Target="../ctrlProps/ctrlProp237.xml"/><Relationship Id="rId245" Type="http://schemas.openxmlformats.org/officeDocument/2006/relationships/ctrlProp" Target="../ctrlProps/ctrlProp242.xml"/><Relationship Id="rId261" Type="http://schemas.openxmlformats.org/officeDocument/2006/relationships/ctrlProp" Target="../ctrlProps/ctrlProp258.xml"/><Relationship Id="rId266" Type="http://schemas.openxmlformats.org/officeDocument/2006/relationships/ctrlProp" Target="../ctrlProps/ctrlProp263.xml"/><Relationship Id="rId287" Type="http://schemas.openxmlformats.org/officeDocument/2006/relationships/ctrlProp" Target="../ctrlProps/ctrlProp284.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282" Type="http://schemas.openxmlformats.org/officeDocument/2006/relationships/ctrlProp" Target="../ctrlProps/ctrlProp279.xml"/><Relationship Id="rId312" Type="http://schemas.openxmlformats.org/officeDocument/2006/relationships/ctrlProp" Target="../ctrlProps/ctrlProp309.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184" Type="http://schemas.openxmlformats.org/officeDocument/2006/relationships/ctrlProp" Target="../ctrlProps/ctrlProp181.xml"/><Relationship Id="rId189" Type="http://schemas.openxmlformats.org/officeDocument/2006/relationships/ctrlProp" Target="../ctrlProps/ctrlProp186.xml"/><Relationship Id="rId219" Type="http://schemas.openxmlformats.org/officeDocument/2006/relationships/ctrlProp" Target="../ctrlProps/ctrlProp216.xml"/><Relationship Id="rId3" Type="http://schemas.openxmlformats.org/officeDocument/2006/relationships/vmlDrawing" Target="../drawings/vmlDrawing1.vml"/><Relationship Id="rId214" Type="http://schemas.openxmlformats.org/officeDocument/2006/relationships/ctrlProp" Target="../ctrlProps/ctrlProp211.xml"/><Relationship Id="rId230" Type="http://schemas.openxmlformats.org/officeDocument/2006/relationships/ctrlProp" Target="../ctrlProps/ctrlProp227.xml"/><Relationship Id="rId235" Type="http://schemas.openxmlformats.org/officeDocument/2006/relationships/ctrlProp" Target="../ctrlProps/ctrlProp232.xml"/><Relationship Id="rId251" Type="http://schemas.openxmlformats.org/officeDocument/2006/relationships/ctrlProp" Target="../ctrlProps/ctrlProp248.xml"/><Relationship Id="rId256" Type="http://schemas.openxmlformats.org/officeDocument/2006/relationships/ctrlProp" Target="../ctrlProps/ctrlProp253.xml"/><Relationship Id="rId277" Type="http://schemas.openxmlformats.org/officeDocument/2006/relationships/ctrlProp" Target="../ctrlProps/ctrlProp274.xml"/><Relationship Id="rId298" Type="http://schemas.openxmlformats.org/officeDocument/2006/relationships/ctrlProp" Target="../ctrlProps/ctrlProp295.x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72" Type="http://schemas.openxmlformats.org/officeDocument/2006/relationships/ctrlProp" Target="../ctrlProps/ctrlProp269.xml"/><Relationship Id="rId293" Type="http://schemas.openxmlformats.org/officeDocument/2006/relationships/ctrlProp" Target="../ctrlProps/ctrlProp290.xml"/><Relationship Id="rId302" Type="http://schemas.openxmlformats.org/officeDocument/2006/relationships/ctrlProp" Target="../ctrlProps/ctrlProp299.xml"/><Relationship Id="rId307" Type="http://schemas.openxmlformats.org/officeDocument/2006/relationships/ctrlProp" Target="../ctrlProps/ctrlProp304.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79" Type="http://schemas.openxmlformats.org/officeDocument/2006/relationships/ctrlProp" Target="../ctrlProps/ctrlProp176.xml"/><Relationship Id="rId195" Type="http://schemas.openxmlformats.org/officeDocument/2006/relationships/ctrlProp" Target="../ctrlProps/ctrlProp192.xml"/><Relationship Id="rId209" Type="http://schemas.openxmlformats.org/officeDocument/2006/relationships/ctrlProp" Target="../ctrlProps/ctrlProp206.xml"/><Relationship Id="rId190" Type="http://schemas.openxmlformats.org/officeDocument/2006/relationships/ctrlProp" Target="../ctrlProps/ctrlProp187.xml"/><Relationship Id="rId204" Type="http://schemas.openxmlformats.org/officeDocument/2006/relationships/ctrlProp" Target="../ctrlProps/ctrlProp201.xml"/><Relationship Id="rId220" Type="http://schemas.openxmlformats.org/officeDocument/2006/relationships/ctrlProp" Target="../ctrlProps/ctrlProp217.xml"/><Relationship Id="rId225" Type="http://schemas.openxmlformats.org/officeDocument/2006/relationships/ctrlProp" Target="../ctrlProps/ctrlProp222.xml"/><Relationship Id="rId241" Type="http://schemas.openxmlformats.org/officeDocument/2006/relationships/ctrlProp" Target="../ctrlProps/ctrlProp238.xml"/><Relationship Id="rId246" Type="http://schemas.openxmlformats.org/officeDocument/2006/relationships/ctrlProp" Target="../ctrlProps/ctrlProp243.xml"/><Relationship Id="rId267" Type="http://schemas.openxmlformats.org/officeDocument/2006/relationships/ctrlProp" Target="../ctrlProps/ctrlProp264.xml"/><Relationship Id="rId288" Type="http://schemas.openxmlformats.org/officeDocument/2006/relationships/ctrlProp" Target="../ctrlProps/ctrlProp285.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262" Type="http://schemas.openxmlformats.org/officeDocument/2006/relationships/ctrlProp" Target="../ctrlProps/ctrlProp259.xml"/><Relationship Id="rId283" Type="http://schemas.openxmlformats.org/officeDocument/2006/relationships/ctrlProp" Target="../ctrlProps/ctrlProp280.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185" Type="http://schemas.openxmlformats.org/officeDocument/2006/relationships/ctrlProp" Target="../ctrlProps/ctrlProp182.xml"/><Relationship Id="rId4" Type="http://schemas.openxmlformats.org/officeDocument/2006/relationships/ctrlProp" Target="../ctrlProps/ctrlProp1.xml"/><Relationship Id="rId9" Type="http://schemas.openxmlformats.org/officeDocument/2006/relationships/ctrlProp" Target="../ctrlProps/ctrlProp6.xml"/><Relationship Id="rId180" Type="http://schemas.openxmlformats.org/officeDocument/2006/relationships/ctrlProp" Target="../ctrlProps/ctrlProp177.xml"/><Relationship Id="rId210" Type="http://schemas.openxmlformats.org/officeDocument/2006/relationships/ctrlProp" Target="../ctrlProps/ctrlProp207.xml"/><Relationship Id="rId215" Type="http://schemas.openxmlformats.org/officeDocument/2006/relationships/ctrlProp" Target="../ctrlProps/ctrlProp212.xml"/><Relationship Id="rId236" Type="http://schemas.openxmlformats.org/officeDocument/2006/relationships/ctrlProp" Target="../ctrlProps/ctrlProp233.xml"/><Relationship Id="rId257" Type="http://schemas.openxmlformats.org/officeDocument/2006/relationships/ctrlProp" Target="../ctrlProps/ctrlProp254.xml"/><Relationship Id="rId278" Type="http://schemas.openxmlformats.org/officeDocument/2006/relationships/ctrlProp" Target="../ctrlProps/ctrlProp275.xml"/><Relationship Id="rId26" Type="http://schemas.openxmlformats.org/officeDocument/2006/relationships/ctrlProp" Target="../ctrlProps/ctrlProp23.xml"/><Relationship Id="rId231" Type="http://schemas.openxmlformats.org/officeDocument/2006/relationships/ctrlProp" Target="../ctrlProps/ctrlProp228.xml"/><Relationship Id="rId252" Type="http://schemas.openxmlformats.org/officeDocument/2006/relationships/ctrlProp" Target="../ctrlProps/ctrlProp249.xml"/><Relationship Id="rId273" Type="http://schemas.openxmlformats.org/officeDocument/2006/relationships/ctrlProp" Target="../ctrlProps/ctrlProp270.xml"/><Relationship Id="rId294" Type="http://schemas.openxmlformats.org/officeDocument/2006/relationships/ctrlProp" Target="../ctrlProps/ctrlProp291.xml"/><Relationship Id="rId308" Type="http://schemas.openxmlformats.org/officeDocument/2006/relationships/ctrlProp" Target="../ctrlProps/ctrlProp305.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221" Type="http://schemas.openxmlformats.org/officeDocument/2006/relationships/ctrlProp" Target="../ctrlProps/ctrlProp218.xml"/><Relationship Id="rId242" Type="http://schemas.openxmlformats.org/officeDocument/2006/relationships/ctrlProp" Target="../ctrlProps/ctrlProp239.xml"/><Relationship Id="rId263" Type="http://schemas.openxmlformats.org/officeDocument/2006/relationships/ctrlProp" Target="../ctrlProps/ctrlProp260.xml"/><Relationship Id="rId284" Type="http://schemas.openxmlformats.org/officeDocument/2006/relationships/ctrlProp" Target="../ctrlProps/ctrlProp281.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211" Type="http://schemas.openxmlformats.org/officeDocument/2006/relationships/ctrlProp" Target="../ctrlProps/ctrlProp208.xml"/><Relationship Id="rId232" Type="http://schemas.openxmlformats.org/officeDocument/2006/relationships/ctrlProp" Target="../ctrlProps/ctrlProp229.xml"/><Relationship Id="rId253" Type="http://schemas.openxmlformats.org/officeDocument/2006/relationships/ctrlProp" Target="../ctrlProps/ctrlProp250.xml"/><Relationship Id="rId274" Type="http://schemas.openxmlformats.org/officeDocument/2006/relationships/ctrlProp" Target="../ctrlProps/ctrlProp271.xml"/><Relationship Id="rId295" Type="http://schemas.openxmlformats.org/officeDocument/2006/relationships/ctrlProp" Target="../ctrlProps/ctrlProp292.xml"/><Relationship Id="rId309" Type="http://schemas.openxmlformats.org/officeDocument/2006/relationships/ctrlProp" Target="../ctrlProps/ctrlProp306.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97" Type="http://schemas.openxmlformats.org/officeDocument/2006/relationships/ctrlProp" Target="../ctrlProps/ctrlProp194.xml"/><Relationship Id="rId201" Type="http://schemas.openxmlformats.org/officeDocument/2006/relationships/ctrlProp" Target="../ctrlProps/ctrlProp198.xml"/><Relationship Id="rId222" Type="http://schemas.openxmlformats.org/officeDocument/2006/relationships/ctrlProp" Target="../ctrlProps/ctrlProp219.xml"/><Relationship Id="rId243" Type="http://schemas.openxmlformats.org/officeDocument/2006/relationships/ctrlProp" Target="../ctrlProps/ctrlProp240.xml"/><Relationship Id="rId264" Type="http://schemas.openxmlformats.org/officeDocument/2006/relationships/ctrlProp" Target="../ctrlProps/ctrlProp261.xml"/><Relationship Id="rId285" Type="http://schemas.openxmlformats.org/officeDocument/2006/relationships/ctrlProp" Target="../ctrlProps/ctrlProp28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310" Type="http://schemas.openxmlformats.org/officeDocument/2006/relationships/ctrlProp" Target="../ctrlProps/ctrlProp307.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87" Type="http://schemas.openxmlformats.org/officeDocument/2006/relationships/ctrlProp" Target="../ctrlProps/ctrlProp184.xml"/><Relationship Id="rId1" Type="http://schemas.openxmlformats.org/officeDocument/2006/relationships/printerSettings" Target="../printerSettings/printerSettings3.bin"/><Relationship Id="rId212" Type="http://schemas.openxmlformats.org/officeDocument/2006/relationships/ctrlProp" Target="../ctrlProps/ctrlProp209.xml"/><Relationship Id="rId233" Type="http://schemas.openxmlformats.org/officeDocument/2006/relationships/ctrlProp" Target="../ctrlProps/ctrlProp230.xml"/><Relationship Id="rId254" Type="http://schemas.openxmlformats.org/officeDocument/2006/relationships/ctrlProp" Target="../ctrlProps/ctrlProp251.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275" Type="http://schemas.openxmlformats.org/officeDocument/2006/relationships/ctrlProp" Target="../ctrlProps/ctrlProp272.xml"/><Relationship Id="rId296" Type="http://schemas.openxmlformats.org/officeDocument/2006/relationships/ctrlProp" Target="../ctrlProps/ctrlProp293.xml"/><Relationship Id="rId300" Type="http://schemas.openxmlformats.org/officeDocument/2006/relationships/ctrlProp" Target="../ctrlProps/ctrlProp297.xml"/><Relationship Id="rId60" Type="http://schemas.openxmlformats.org/officeDocument/2006/relationships/ctrlProp" Target="../ctrlProps/ctrlProp57.xml"/><Relationship Id="rId81" Type="http://schemas.openxmlformats.org/officeDocument/2006/relationships/ctrlProp" Target="../ctrlProps/ctrlProp78.xml"/><Relationship Id="rId135" Type="http://schemas.openxmlformats.org/officeDocument/2006/relationships/ctrlProp" Target="../ctrlProps/ctrlProp132.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202" Type="http://schemas.openxmlformats.org/officeDocument/2006/relationships/ctrlProp" Target="../ctrlProps/ctrlProp199.xml"/><Relationship Id="rId223" Type="http://schemas.openxmlformats.org/officeDocument/2006/relationships/ctrlProp" Target="../ctrlProps/ctrlProp220.xml"/><Relationship Id="rId244" Type="http://schemas.openxmlformats.org/officeDocument/2006/relationships/ctrlProp" Target="../ctrlProps/ctrlProp241.xml"/><Relationship Id="rId18" Type="http://schemas.openxmlformats.org/officeDocument/2006/relationships/ctrlProp" Target="../ctrlProps/ctrlProp15.xml"/><Relationship Id="rId39" Type="http://schemas.openxmlformats.org/officeDocument/2006/relationships/ctrlProp" Target="../ctrlProps/ctrlProp36.xml"/><Relationship Id="rId265" Type="http://schemas.openxmlformats.org/officeDocument/2006/relationships/ctrlProp" Target="../ctrlProps/ctrlProp262.xml"/><Relationship Id="rId286" Type="http://schemas.openxmlformats.org/officeDocument/2006/relationships/ctrlProp" Target="../ctrlProps/ctrlProp283.xml"/><Relationship Id="rId50" Type="http://schemas.openxmlformats.org/officeDocument/2006/relationships/ctrlProp" Target="../ctrlProps/ctrlProp47.xml"/><Relationship Id="rId104" Type="http://schemas.openxmlformats.org/officeDocument/2006/relationships/ctrlProp" Target="../ctrlProps/ctrlProp101.xml"/><Relationship Id="rId125" Type="http://schemas.openxmlformats.org/officeDocument/2006/relationships/ctrlProp" Target="../ctrlProps/ctrlProp122.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311" Type="http://schemas.openxmlformats.org/officeDocument/2006/relationships/ctrlProp" Target="../ctrlProps/ctrlProp308.xml"/><Relationship Id="rId71" Type="http://schemas.openxmlformats.org/officeDocument/2006/relationships/ctrlProp" Target="../ctrlProps/ctrlProp68.xml"/><Relationship Id="rId92" Type="http://schemas.openxmlformats.org/officeDocument/2006/relationships/ctrlProp" Target="../ctrlProps/ctrlProp89.xml"/><Relationship Id="rId213" Type="http://schemas.openxmlformats.org/officeDocument/2006/relationships/ctrlProp" Target="../ctrlProps/ctrlProp210.xml"/><Relationship Id="rId234" Type="http://schemas.openxmlformats.org/officeDocument/2006/relationships/ctrlProp" Target="../ctrlProps/ctrlProp231.xml"/><Relationship Id="rId2" Type="http://schemas.openxmlformats.org/officeDocument/2006/relationships/drawing" Target="../drawings/drawing3.xml"/><Relationship Id="rId29" Type="http://schemas.openxmlformats.org/officeDocument/2006/relationships/ctrlProp" Target="../ctrlProps/ctrlProp26.xml"/><Relationship Id="rId255" Type="http://schemas.openxmlformats.org/officeDocument/2006/relationships/ctrlProp" Target="../ctrlProps/ctrlProp252.xml"/><Relationship Id="rId276" Type="http://schemas.openxmlformats.org/officeDocument/2006/relationships/ctrlProp" Target="../ctrlProps/ctrlProp273.xml"/><Relationship Id="rId297" Type="http://schemas.openxmlformats.org/officeDocument/2006/relationships/ctrlProp" Target="../ctrlProps/ctrlProp29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310.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46DA5F"/>
    <pageSetUpPr fitToPage="1"/>
  </sheetPr>
  <dimension ref="B1:Z259"/>
  <sheetViews>
    <sheetView showGridLines="0" showZeros="0" tabSelected="1" zoomScaleNormal="100" workbookViewId="0">
      <selection activeCell="H9" sqref="H9:M10"/>
    </sheetView>
  </sheetViews>
  <sheetFormatPr defaultRowHeight="15" x14ac:dyDescent="0.25"/>
  <cols>
    <col min="1" max="1" width="2.85546875" customWidth="1"/>
    <col min="2" max="2" width="10.5703125" style="67" bestFit="1" customWidth="1"/>
    <col min="3" max="3" width="58.5703125" style="67" bestFit="1" customWidth="1"/>
    <col min="4" max="5" width="10.5703125" style="67" bestFit="1" customWidth="1"/>
    <col min="7" max="7" width="10.28515625" customWidth="1"/>
    <col min="8" max="8" width="9.7109375" bestFit="1" customWidth="1"/>
    <col min="9" max="10" width="9.140625" customWidth="1"/>
  </cols>
  <sheetData>
    <row r="1" spans="2:26" ht="15" customHeight="1" thickBot="1" x14ac:dyDescent="0.3">
      <c r="B1" s="156"/>
      <c r="C1" s="156"/>
      <c r="D1" s="156"/>
      <c r="E1" s="156"/>
    </row>
    <row r="2" spans="2:26" ht="37.5" customHeight="1" thickBot="1" x14ac:dyDescent="0.55000000000000004">
      <c r="B2" s="110" t="s">
        <v>65</v>
      </c>
      <c r="C2" s="187" t="s">
        <v>62</v>
      </c>
      <c r="D2" s="155" t="s">
        <v>66</v>
      </c>
      <c r="E2" s="111" t="s">
        <v>67</v>
      </c>
      <c r="F2" s="188">
        <f>H7</f>
        <v>0</v>
      </c>
      <c r="G2" s="189"/>
      <c r="H2" s="189"/>
      <c r="I2" s="189"/>
      <c r="J2" s="189"/>
      <c r="K2" s="189"/>
      <c r="L2" s="189"/>
      <c r="M2" s="189"/>
      <c r="N2" s="189"/>
      <c r="O2" s="189"/>
      <c r="P2" s="190"/>
      <c r="R2" s="7"/>
      <c r="S2" s="7"/>
      <c r="T2" s="132"/>
      <c r="U2" s="132"/>
      <c r="V2" s="132"/>
      <c r="W2" s="132"/>
      <c r="X2" s="132"/>
      <c r="Y2" s="7"/>
      <c r="Z2" s="7"/>
    </row>
    <row r="3" spans="2:26" ht="20.100000000000001" customHeight="1" thickBot="1" x14ac:dyDescent="0.3">
      <c r="B3" s="142" t="str">
        <f>IF(ISBLANK(C3)," ",COUNTA($C$3:C3))</f>
        <v xml:space="preserve"> </v>
      </c>
      <c r="C3" s="82"/>
      <c r="D3" s="82"/>
      <c r="E3" s="133"/>
      <c r="F3" s="7"/>
      <c r="G3" s="112" t="s">
        <v>35</v>
      </c>
      <c r="H3" s="152">
        <f ca="1">TODAY()</f>
        <v>44621</v>
      </c>
      <c r="I3" s="143"/>
      <c r="J3" s="143"/>
      <c r="K3" s="144" t="s">
        <v>37</v>
      </c>
      <c r="L3" s="145"/>
      <c r="M3" s="145"/>
      <c r="R3" s="7"/>
      <c r="S3" s="7"/>
      <c r="T3" s="132"/>
      <c r="U3" s="132"/>
      <c r="V3" s="132"/>
      <c r="W3" s="132"/>
      <c r="X3" s="132"/>
      <c r="Y3" s="7"/>
      <c r="Z3" s="7"/>
    </row>
    <row r="4" spans="2:26" ht="20.100000000000001" customHeight="1" thickBot="1" x14ac:dyDescent="0.3">
      <c r="B4" s="142" t="str">
        <f>IF(ISBLANK(C4)," ",COUNTA($C$3:C4))</f>
        <v xml:space="preserve"> </v>
      </c>
      <c r="C4" s="186"/>
      <c r="D4" s="186"/>
      <c r="E4" s="134"/>
      <c r="F4" s="7"/>
      <c r="G4" s="127" t="s">
        <v>36</v>
      </c>
      <c r="H4" s="153">
        <v>1594</v>
      </c>
      <c r="I4" s="147"/>
      <c r="J4" s="143"/>
      <c r="K4" s="148" t="s">
        <v>38</v>
      </c>
      <c r="L4" s="145"/>
      <c r="M4" s="145"/>
      <c r="O4" s="7"/>
      <c r="P4" s="7"/>
      <c r="Q4" s="7"/>
      <c r="R4" s="7"/>
      <c r="S4" s="7"/>
      <c r="T4" s="132"/>
      <c r="U4" s="132"/>
      <c r="V4" s="132"/>
      <c r="W4" s="132"/>
      <c r="X4" s="132"/>
      <c r="Y4" s="7"/>
      <c r="Z4" s="7"/>
    </row>
    <row r="5" spans="2:26" ht="20.100000000000001" customHeight="1" thickBot="1" x14ac:dyDescent="0.3">
      <c r="B5" s="142" t="str">
        <f>IF(ISBLANK(C5)," ",COUNTA($C$3:C5))</f>
        <v xml:space="preserve"> </v>
      </c>
      <c r="C5" s="186"/>
      <c r="D5" s="186"/>
      <c r="E5" s="133"/>
      <c r="F5" s="7"/>
      <c r="G5" s="127" t="s">
        <v>83</v>
      </c>
      <c r="H5" s="146"/>
      <c r="I5" s="147"/>
      <c r="J5" s="143"/>
      <c r="K5" s="149" t="s">
        <v>75</v>
      </c>
      <c r="L5" s="145"/>
      <c r="M5" s="145"/>
      <c r="O5" s="7"/>
      <c r="P5" s="7"/>
      <c r="Q5" s="7"/>
      <c r="R5" s="7"/>
      <c r="S5" s="7"/>
      <c r="T5" s="132"/>
      <c r="U5" s="132"/>
      <c r="V5" s="132"/>
      <c r="W5" s="132"/>
      <c r="X5" s="132"/>
      <c r="Y5" s="7"/>
      <c r="Z5" s="7"/>
    </row>
    <row r="6" spans="2:26" ht="20.100000000000001" customHeight="1" thickBot="1" x14ac:dyDescent="0.3">
      <c r="B6" s="142" t="str">
        <f>IF(ISBLANK(C6)," ",COUNTA($C$3:C6))</f>
        <v xml:space="preserve"> </v>
      </c>
      <c r="C6" s="186"/>
      <c r="D6" s="186"/>
      <c r="E6" s="134"/>
      <c r="F6" s="7"/>
      <c r="G6" s="127" t="s">
        <v>84</v>
      </c>
      <c r="H6" s="146"/>
      <c r="I6" s="147"/>
      <c r="J6" s="143"/>
      <c r="K6" s="150" t="s">
        <v>76</v>
      </c>
      <c r="L6" s="145"/>
      <c r="M6" s="145"/>
      <c r="O6" s="7"/>
      <c r="P6" s="7"/>
      <c r="Q6" s="7"/>
      <c r="R6" s="130"/>
      <c r="S6" s="130"/>
      <c r="T6" s="130"/>
      <c r="U6" s="130"/>
      <c r="V6" s="130"/>
      <c r="W6" s="130"/>
      <c r="X6" s="130"/>
      <c r="Y6" s="7"/>
      <c r="Z6" s="7"/>
    </row>
    <row r="7" spans="2:26" ht="20.100000000000001" customHeight="1" thickBot="1" x14ac:dyDescent="0.3">
      <c r="B7" s="142" t="str">
        <f>IF(ISBLANK(C7)," ",COUNTA($C$3:C7))</f>
        <v xml:space="preserve"> </v>
      </c>
      <c r="C7" s="186"/>
      <c r="D7" s="186"/>
      <c r="E7" s="133"/>
      <c r="F7" s="7"/>
      <c r="G7" s="105" t="s">
        <v>68</v>
      </c>
      <c r="H7" s="151"/>
      <c r="I7" s="147"/>
      <c r="J7" s="143"/>
      <c r="K7" s="145"/>
      <c r="L7" s="145"/>
      <c r="M7" s="145"/>
      <c r="O7" s="7"/>
      <c r="P7" s="7"/>
      <c r="Q7" s="7"/>
      <c r="R7" s="130"/>
      <c r="S7" s="130"/>
      <c r="T7" s="130"/>
      <c r="U7" s="130"/>
      <c r="V7" s="130"/>
      <c r="W7" s="130"/>
      <c r="X7" s="130"/>
      <c r="Y7" s="7"/>
      <c r="Z7" s="7"/>
    </row>
    <row r="8" spans="2:26" ht="20.100000000000001" customHeight="1" thickBot="1" x14ac:dyDescent="0.3">
      <c r="B8" s="142" t="str">
        <f>IF(ISBLANK(C8)," ",COUNTA($C$3:C8))</f>
        <v xml:space="preserve"> </v>
      </c>
      <c r="C8" s="186"/>
      <c r="D8" s="186"/>
      <c r="E8" s="134"/>
      <c r="F8" s="7"/>
      <c r="G8" s="105" t="s">
        <v>69</v>
      </c>
      <c r="H8" s="154"/>
      <c r="I8" s="147"/>
      <c r="J8" s="147"/>
      <c r="K8" s="147"/>
      <c r="L8" s="147"/>
      <c r="M8" s="147"/>
      <c r="P8" s="7"/>
      <c r="Q8" s="157"/>
      <c r="R8" s="130"/>
      <c r="S8" s="130"/>
      <c r="T8" s="130"/>
      <c r="U8" s="130"/>
      <c r="V8" s="130"/>
      <c r="W8" s="130"/>
      <c r="X8" s="130"/>
      <c r="Y8" s="7"/>
      <c r="Z8" s="7"/>
    </row>
    <row r="9" spans="2:26" ht="20.100000000000001" customHeight="1" thickBot="1" x14ac:dyDescent="0.3">
      <c r="B9" s="142" t="str">
        <f>IF(ISBLANK(C9)," ",COUNTA($C$3:C9))</f>
        <v xml:space="preserve"> </v>
      </c>
      <c r="C9" s="186"/>
      <c r="D9" s="186"/>
      <c r="E9" s="133"/>
      <c r="F9" s="7"/>
      <c r="G9" s="105" t="s">
        <v>77</v>
      </c>
      <c r="H9" s="191"/>
      <c r="I9" s="192"/>
      <c r="J9" s="192"/>
      <c r="K9" s="192"/>
      <c r="L9" s="192"/>
      <c r="M9" s="192"/>
      <c r="P9" s="7"/>
      <c r="Q9" s="7"/>
      <c r="R9" s="130"/>
      <c r="S9" s="130"/>
      <c r="T9" s="130"/>
      <c r="U9" s="130"/>
      <c r="V9" s="130"/>
      <c r="W9" s="130"/>
      <c r="X9" s="130"/>
      <c r="Y9" s="7"/>
      <c r="Z9" s="7"/>
    </row>
    <row r="10" spans="2:26" ht="20.100000000000001" customHeight="1" x14ac:dyDescent="0.25">
      <c r="B10" s="142" t="str">
        <f>IF(ISBLANK(C10)," ",COUNTA($C$3:C10))</f>
        <v xml:space="preserve"> </v>
      </c>
      <c r="C10" s="186"/>
      <c r="D10" s="186"/>
      <c r="E10" s="134"/>
      <c r="F10" s="7"/>
      <c r="G10" s="7"/>
      <c r="H10" s="192"/>
      <c r="I10" s="192"/>
      <c r="J10" s="192"/>
      <c r="K10" s="192"/>
      <c r="L10" s="192"/>
      <c r="M10" s="192"/>
      <c r="Q10" s="7"/>
      <c r="R10" s="130"/>
      <c r="S10" s="130"/>
      <c r="T10" s="130"/>
      <c r="U10" s="130"/>
      <c r="V10" s="130"/>
      <c r="W10" s="130"/>
      <c r="X10" s="130"/>
      <c r="Y10" s="7"/>
      <c r="Z10" s="7"/>
    </row>
    <row r="11" spans="2:26" ht="20.100000000000001" customHeight="1" x14ac:dyDescent="0.25">
      <c r="B11" s="142" t="str">
        <f>IF(ISBLANK(C11)," ",COUNTA($C$3:C11))</f>
        <v xml:space="preserve"> </v>
      </c>
      <c r="C11" s="186"/>
      <c r="D11" s="186"/>
      <c r="E11" s="133"/>
      <c r="F11" s="7"/>
      <c r="G11" s="122"/>
      <c r="H11" s="122"/>
      <c r="I11" s="122"/>
      <c r="J11" s="122"/>
      <c r="K11" s="122"/>
      <c r="L11" s="122"/>
      <c r="M11" s="122"/>
      <c r="N11" s="122"/>
      <c r="O11" s="122"/>
      <c r="P11" s="122"/>
      <c r="Q11" s="7"/>
      <c r="R11" s="130"/>
      <c r="S11" s="130"/>
      <c r="T11" s="130"/>
      <c r="U11" s="130"/>
      <c r="V11" s="130"/>
      <c r="W11" s="130"/>
      <c r="X11" s="130"/>
      <c r="Y11" s="7"/>
      <c r="Z11" s="7"/>
    </row>
    <row r="12" spans="2:26" ht="20.100000000000001" customHeight="1" x14ac:dyDescent="0.25">
      <c r="B12" s="142" t="str">
        <f>IF(ISBLANK(C12)," ",COUNTA($C$3:C12))</f>
        <v xml:space="preserve"> </v>
      </c>
      <c r="C12" s="186"/>
      <c r="D12" s="186"/>
      <c r="E12" s="134"/>
      <c r="F12" s="7"/>
      <c r="G12" s="122"/>
      <c r="H12" s="122"/>
      <c r="I12" s="122"/>
      <c r="J12" s="122"/>
      <c r="K12" s="122"/>
      <c r="L12" s="122"/>
      <c r="M12" s="122"/>
      <c r="N12" s="122"/>
      <c r="O12" s="122"/>
      <c r="P12" s="122"/>
      <c r="Q12" s="7"/>
      <c r="R12" s="130"/>
      <c r="S12" s="130"/>
      <c r="T12" s="130"/>
      <c r="U12" s="130"/>
      <c r="V12" s="130"/>
      <c r="W12" s="130"/>
      <c r="X12" s="130"/>
      <c r="Y12" s="7"/>
      <c r="Z12" s="7"/>
    </row>
    <row r="13" spans="2:26" ht="20.100000000000001" customHeight="1" x14ac:dyDescent="0.25">
      <c r="B13" s="142" t="str">
        <f>IF(ISBLANK(C13)," ",COUNTA($C$3:C13))</f>
        <v xml:space="preserve"> </v>
      </c>
      <c r="C13" s="186"/>
      <c r="D13" s="186"/>
      <c r="E13" s="133"/>
      <c r="F13" s="7"/>
      <c r="G13" s="122"/>
      <c r="H13" s="122"/>
      <c r="I13" s="122"/>
      <c r="J13" s="122"/>
      <c r="K13" s="122"/>
      <c r="L13" s="122"/>
      <c r="M13" s="122"/>
      <c r="N13" s="122"/>
      <c r="O13" s="122"/>
      <c r="P13" s="122"/>
      <c r="Q13" s="7"/>
      <c r="R13" s="130"/>
      <c r="S13" s="130"/>
      <c r="T13" s="130"/>
      <c r="U13" s="130"/>
      <c r="V13" s="130"/>
      <c r="W13" s="130"/>
      <c r="X13" s="130"/>
      <c r="Y13" s="7"/>
      <c r="Z13" s="7"/>
    </row>
    <row r="14" spans="2:26" ht="20.100000000000001" customHeight="1" x14ac:dyDescent="0.25">
      <c r="B14" s="142" t="str">
        <f>IF(ISBLANK(C14)," ",COUNTA($C$3:C14))</f>
        <v xml:space="preserve"> </v>
      </c>
      <c r="C14" s="186"/>
      <c r="D14" s="186"/>
      <c r="E14" s="134"/>
      <c r="G14" s="122"/>
      <c r="H14" s="122"/>
      <c r="I14" s="122"/>
      <c r="J14" s="122"/>
      <c r="K14" s="122"/>
      <c r="L14" s="122"/>
      <c r="M14" s="122"/>
      <c r="N14" s="122"/>
      <c r="O14" s="122"/>
      <c r="P14" s="122"/>
      <c r="Q14" s="7"/>
      <c r="R14" s="130"/>
      <c r="S14" s="130"/>
      <c r="T14" s="130"/>
      <c r="U14" s="130"/>
      <c r="V14" s="130"/>
      <c r="W14" s="130"/>
      <c r="X14" s="130"/>
      <c r="Y14" s="7"/>
      <c r="Z14" s="7"/>
    </row>
    <row r="15" spans="2:26" ht="20.100000000000001" customHeight="1" x14ac:dyDescent="0.25">
      <c r="B15" s="142" t="str">
        <f>IF(ISBLANK(C15)," ",COUNTA($C$3:C15))</f>
        <v xml:space="preserve"> </v>
      </c>
      <c r="C15" s="186"/>
      <c r="D15" s="186"/>
      <c r="E15" s="133"/>
      <c r="G15" s="122"/>
      <c r="H15" s="122"/>
      <c r="I15" s="122"/>
      <c r="J15" s="122"/>
      <c r="K15" s="122"/>
      <c r="L15" s="122"/>
      <c r="M15" s="122"/>
      <c r="N15" s="122"/>
      <c r="O15" s="122"/>
      <c r="P15" s="122"/>
      <c r="Q15" s="7"/>
      <c r="R15" s="130"/>
      <c r="S15" s="130"/>
      <c r="T15" s="130"/>
      <c r="U15" s="130"/>
      <c r="V15" s="130"/>
      <c r="W15" s="130"/>
      <c r="X15" s="130"/>
      <c r="Y15" s="7"/>
      <c r="Z15" s="7"/>
    </row>
    <row r="16" spans="2:26" ht="20.100000000000001" customHeight="1" x14ac:dyDescent="0.25">
      <c r="B16" s="142" t="str">
        <f>IF(ISBLANK(C16)," ",COUNTA($C$3:C16))</f>
        <v xml:space="preserve"> </v>
      </c>
      <c r="C16" s="186"/>
      <c r="D16" s="186"/>
      <c r="E16" s="134"/>
      <c r="G16" s="122"/>
      <c r="H16" s="122"/>
      <c r="I16" s="122"/>
      <c r="J16" s="122"/>
      <c r="K16" s="122"/>
      <c r="L16" s="122"/>
      <c r="M16" s="122"/>
      <c r="N16" s="122"/>
      <c r="O16" s="122"/>
      <c r="P16" s="122"/>
      <c r="R16" s="130"/>
      <c r="S16" s="130"/>
      <c r="T16" s="130"/>
      <c r="U16" s="130"/>
      <c r="V16" s="130"/>
      <c r="W16" s="130"/>
      <c r="X16" s="130"/>
      <c r="Y16" s="7"/>
      <c r="Z16" s="7"/>
    </row>
    <row r="17" spans="2:26" ht="20.100000000000001" customHeight="1" thickBot="1" x14ac:dyDescent="0.3">
      <c r="B17" s="142" t="str">
        <f>IF(ISBLANK(C17)," ",COUNTA($C$3:C17))</f>
        <v xml:space="preserve"> </v>
      </c>
      <c r="C17" s="186"/>
      <c r="D17" s="186"/>
      <c r="E17" s="133"/>
      <c r="G17" s="122"/>
      <c r="H17" s="122"/>
      <c r="I17" s="122"/>
      <c r="J17" s="122"/>
      <c r="K17" s="122"/>
      <c r="L17" s="122"/>
      <c r="M17" s="122"/>
      <c r="N17" s="122"/>
      <c r="O17" s="122"/>
      <c r="P17" s="122"/>
      <c r="R17" s="130"/>
      <c r="S17" s="130"/>
      <c r="T17" s="130"/>
      <c r="U17" s="130"/>
      <c r="V17" s="130"/>
      <c r="W17" s="130"/>
      <c r="X17" s="130"/>
      <c r="Y17" s="7"/>
      <c r="Z17" s="7"/>
    </row>
    <row r="18" spans="2:26" ht="20.100000000000001" customHeight="1" x14ac:dyDescent="0.25">
      <c r="B18" s="142" t="str">
        <f>IF(ISBLANK(C18)," ",COUNTA($C$3:C18))</f>
        <v xml:space="preserve"> </v>
      </c>
      <c r="C18" s="186"/>
      <c r="D18" s="186"/>
      <c r="E18" s="134"/>
      <c r="G18" s="193" t="s">
        <v>89</v>
      </c>
      <c r="H18" s="194"/>
      <c r="I18" s="194"/>
      <c r="J18" s="194"/>
      <c r="K18" s="194"/>
      <c r="L18" s="194"/>
      <c r="M18" s="194"/>
      <c r="N18" s="194"/>
      <c r="O18" s="194"/>
      <c r="P18" s="195"/>
      <c r="R18" s="130"/>
      <c r="S18" s="130"/>
      <c r="T18" s="130"/>
      <c r="U18" s="130"/>
      <c r="V18" s="130"/>
      <c r="W18" s="130"/>
      <c r="X18" s="130"/>
      <c r="Y18" s="7"/>
      <c r="Z18" s="7"/>
    </row>
    <row r="19" spans="2:26" ht="20.100000000000001" customHeight="1" x14ac:dyDescent="0.25">
      <c r="B19" s="142" t="str">
        <f>IF(ISBLANK(C19)," ",COUNTA($C$3:C19))</f>
        <v xml:space="preserve"> </v>
      </c>
      <c r="C19" s="186"/>
      <c r="D19" s="186"/>
      <c r="E19" s="133"/>
      <c r="G19" s="196"/>
      <c r="H19" s="197"/>
      <c r="I19" s="197"/>
      <c r="J19" s="197"/>
      <c r="K19" s="197"/>
      <c r="L19" s="197"/>
      <c r="M19" s="197"/>
      <c r="N19" s="197"/>
      <c r="O19" s="197"/>
      <c r="P19" s="198"/>
      <c r="R19" s="130"/>
      <c r="S19" s="130"/>
      <c r="T19" s="130"/>
      <c r="U19" s="130"/>
      <c r="V19" s="130"/>
      <c r="W19" s="130"/>
      <c r="X19" s="130"/>
      <c r="Y19" s="7"/>
      <c r="Z19" s="7"/>
    </row>
    <row r="20" spans="2:26" ht="20.100000000000001" customHeight="1" x14ac:dyDescent="0.25">
      <c r="B20" s="142" t="str">
        <f>IF(ISBLANK(C20)," ",COUNTA($C$3:C20))</f>
        <v xml:space="preserve"> </v>
      </c>
      <c r="C20" s="186"/>
      <c r="D20" s="186"/>
      <c r="E20" s="134"/>
      <c r="G20" s="196"/>
      <c r="H20" s="197"/>
      <c r="I20" s="197"/>
      <c r="J20" s="197"/>
      <c r="K20" s="197"/>
      <c r="L20" s="197"/>
      <c r="M20" s="197"/>
      <c r="N20" s="197"/>
      <c r="O20" s="197"/>
      <c r="P20" s="198"/>
      <c r="R20" s="130"/>
      <c r="S20" s="130"/>
      <c r="T20" s="130"/>
      <c r="U20" s="130"/>
      <c r="V20" s="130"/>
      <c r="W20" s="130"/>
      <c r="X20" s="130"/>
      <c r="Y20" s="7"/>
      <c r="Z20" s="7"/>
    </row>
    <row r="21" spans="2:26" ht="20.100000000000001" customHeight="1" x14ac:dyDescent="0.25">
      <c r="B21" s="142" t="str">
        <f>IF(ISBLANK(C21)," ",COUNTA($C$3:C21))</f>
        <v xml:space="preserve"> </v>
      </c>
      <c r="C21" s="186"/>
      <c r="D21" s="186"/>
      <c r="E21" s="133"/>
      <c r="G21" s="196"/>
      <c r="H21" s="197"/>
      <c r="I21" s="197"/>
      <c r="J21" s="197"/>
      <c r="K21" s="197"/>
      <c r="L21" s="197"/>
      <c r="M21" s="197"/>
      <c r="N21" s="197"/>
      <c r="O21" s="197"/>
      <c r="P21" s="198"/>
      <c r="R21" s="130"/>
      <c r="S21" s="130"/>
      <c r="T21" s="130"/>
      <c r="U21" s="130"/>
      <c r="V21" s="130"/>
      <c r="W21" s="130"/>
      <c r="X21" s="130"/>
      <c r="Y21" s="7"/>
      <c r="Z21" s="7"/>
    </row>
    <row r="22" spans="2:26" ht="20.100000000000001" customHeight="1" x14ac:dyDescent="0.25">
      <c r="B22" s="142" t="str">
        <f>IF(ISBLANK(C22)," ",COUNTA($C$3:C22))</f>
        <v xml:space="preserve"> </v>
      </c>
      <c r="C22" s="186"/>
      <c r="D22" s="186"/>
      <c r="E22" s="134"/>
      <c r="G22" s="196"/>
      <c r="H22" s="197"/>
      <c r="I22" s="197"/>
      <c r="J22" s="197"/>
      <c r="K22" s="197"/>
      <c r="L22" s="197"/>
      <c r="M22" s="197"/>
      <c r="N22" s="197"/>
      <c r="O22" s="197"/>
      <c r="P22" s="198"/>
      <c r="R22" s="7"/>
      <c r="S22" s="7"/>
      <c r="T22" s="7"/>
      <c r="U22" s="7"/>
      <c r="V22" s="7"/>
      <c r="W22" s="7"/>
      <c r="X22" s="7"/>
      <c r="Y22" s="7"/>
      <c r="Z22" s="7"/>
    </row>
    <row r="23" spans="2:26" ht="20.100000000000001" customHeight="1" x14ac:dyDescent="0.25">
      <c r="B23" s="142" t="str">
        <f>IF(ISBLANK(C23)," ",COUNTA($C$3:C23))</f>
        <v xml:space="preserve"> </v>
      </c>
      <c r="C23" s="186"/>
      <c r="D23" s="186"/>
      <c r="E23" s="133"/>
      <c r="G23" s="196"/>
      <c r="H23" s="197"/>
      <c r="I23" s="197"/>
      <c r="J23" s="197"/>
      <c r="K23" s="197"/>
      <c r="L23" s="197"/>
      <c r="M23" s="197"/>
      <c r="N23" s="197"/>
      <c r="O23" s="197"/>
      <c r="P23" s="198"/>
      <c r="R23" s="131"/>
      <c r="S23" s="131"/>
      <c r="T23" s="131"/>
      <c r="U23" s="131"/>
      <c r="V23" s="131"/>
      <c r="W23" s="131"/>
      <c r="X23" s="131"/>
      <c r="Y23" s="131"/>
      <c r="Z23" s="131"/>
    </row>
    <row r="24" spans="2:26" ht="20.100000000000001" customHeight="1" x14ac:dyDescent="0.25">
      <c r="B24" s="142" t="str">
        <f>IF(ISBLANK(C24)," ",COUNTA($C$3:C24))</f>
        <v xml:space="preserve"> </v>
      </c>
      <c r="C24" s="186"/>
      <c r="D24" s="186"/>
      <c r="E24" s="134"/>
      <c r="G24" s="196"/>
      <c r="H24" s="197"/>
      <c r="I24" s="197"/>
      <c r="J24" s="197"/>
      <c r="K24" s="197"/>
      <c r="L24" s="197"/>
      <c r="M24" s="197"/>
      <c r="N24" s="197"/>
      <c r="O24" s="197"/>
      <c r="P24" s="198"/>
      <c r="R24" s="131"/>
      <c r="S24" s="131"/>
      <c r="T24" s="131"/>
      <c r="U24" s="131"/>
      <c r="V24" s="131"/>
      <c r="W24" s="131"/>
      <c r="X24" s="131"/>
      <c r="Y24" s="131"/>
      <c r="Z24" s="131"/>
    </row>
    <row r="25" spans="2:26" ht="20.100000000000001" customHeight="1" x14ac:dyDescent="0.25">
      <c r="B25" s="142" t="str">
        <f>IF(ISBLANK(C25)," ",COUNTA($C$3:C25))</f>
        <v xml:space="preserve"> </v>
      </c>
      <c r="C25" s="186"/>
      <c r="D25" s="186"/>
      <c r="E25" s="133"/>
      <c r="G25" s="196"/>
      <c r="H25" s="197"/>
      <c r="I25" s="197"/>
      <c r="J25" s="197"/>
      <c r="K25" s="197"/>
      <c r="L25" s="197"/>
      <c r="M25" s="197"/>
      <c r="N25" s="197"/>
      <c r="O25" s="197"/>
      <c r="P25" s="198"/>
      <c r="R25" s="131"/>
      <c r="S25" s="131"/>
      <c r="T25" s="131"/>
      <c r="U25" s="131"/>
      <c r="V25" s="131"/>
      <c r="W25" s="131"/>
      <c r="X25" s="131"/>
      <c r="Y25" s="131"/>
      <c r="Z25" s="131"/>
    </row>
    <row r="26" spans="2:26" ht="20.100000000000001" customHeight="1" x14ac:dyDescent="0.25">
      <c r="B26" s="142" t="str">
        <f>IF(ISBLANK(C26)," ",COUNTA($C$3:C26))</f>
        <v xml:space="preserve"> </v>
      </c>
      <c r="C26" s="186"/>
      <c r="D26" s="186"/>
      <c r="E26" s="134"/>
      <c r="G26" s="196"/>
      <c r="H26" s="197"/>
      <c r="I26" s="197"/>
      <c r="J26" s="197"/>
      <c r="K26" s="197"/>
      <c r="L26" s="197"/>
      <c r="M26" s="197"/>
      <c r="N26" s="197"/>
      <c r="O26" s="197"/>
      <c r="P26" s="198"/>
      <c r="R26" s="131"/>
      <c r="S26" s="131"/>
      <c r="T26" s="131"/>
      <c r="U26" s="131"/>
      <c r="V26" s="131"/>
      <c r="W26" s="131"/>
      <c r="X26" s="131"/>
      <c r="Y26" s="131"/>
      <c r="Z26" s="131"/>
    </row>
    <row r="27" spans="2:26" ht="20.100000000000001" customHeight="1" x14ac:dyDescent="0.25">
      <c r="B27" s="142" t="str">
        <f>IF(ISBLANK(C27)," ",COUNTA($C$3:C27))</f>
        <v xml:space="preserve"> </v>
      </c>
      <c r="C27" s="186"/>
      <c r="D27" s="186"/>
      <c r="E27" s="133"/>
      <c r="G27" s="196"/>
      <c r="H27" s="197"/>
      <c r="I27" s="197"/>
      <c r="J27" s="197"/>
      <c r="K27" s="197"/>
      <c r="L27" s="197"/>
      <c r="M27" s="197"/>
      <c r="N27" s="197"/>
      <c r="O27" s="197"/>
      <c r="P27" s="198"/>
      <c r="R27" s="131"/>
      <c r="S27" s="131"/>
      <c r="T27" s="131"/>
      <c r="U27" s="131"/>
      <c r="V27" s="131"/>
      <c r="W27" s="131"/>
      <c r="X27" s="131"/>
      <c r="Y27" s="131"/>
      <c r="Z27" s="131"/>
    </row>
    <row r="28" spans="2:26" ht="20.100000000000001" customHeight="1" x14ac:dyDescent="0.25">
      <c r="B28" s="142" t="str">
        <f>IF(ISBLANK(C28)," ",COUNTA($C$3:C28))</f>
        <v xml:space="preserve"> </v>
      </c>
      <c r="C28" s="186"/>
      <c r="D28" s="186"/>
      <c r="E28" s="134"/>
      <c r="G28" s="196"/>
      <c r="H28" s="197"/>
      <c r="I28" s="197"/>
      <c r="J28" s="197"/>
      <c r="K28" s="197"/>
      <c r="L28" s="197"/>
      <c r="M28" s="197"/>
      <c r="N28" s="197"/>
      <c r="O28" s="197"/>
      <c r="P28" s="198"/>
    </row>
    <row r="29" spans="2:26" ht="20.100000000000001" customHeight="1" x14ac:dyDescent="0.25">
      <c r="B29" s="142" t="str">
        <f>IF(ISBLANK(C29)," ",COUNTA($C$3:C29))</f>
        <v xml:space="preserve"> </v>
      </c>
      <c r="C29" s="186"/>
      <c r="D29" s="186"/>
      <c r="E29" s="133"/>
      <c r="G29" s="196"/>
      <c r="H29" s="197"/>
      <c r="I29" s="197"/>
      <c r="J29" s="197"/>
      <c r="K29" s="197"/>
      <c r="L29" s="197"/>
      <c r="M29" s="197"/>
      <c r="N29" s="197"/>
      <c r="O29" s="197"/>
      <c r="P29" s="198"/>
    </row>
    <row r="30" spans="2:26" ht="20.100000000000001" customHeight="1" x14ac:dyDescent="0.25">
      <c r="B30" s="142" t="str">
        <f>IF(ISBLANK(C30)," ",COUNTA($C$3:C30))</f>
        <v xml:space="preserve"> </v>
      </c>
      <c r="C30" s="186"/>
      <c r="D30" s="186"/>
      <c r="E30" s="134"/>
      <c r="G30" s="196"/>
      <c r="H30" s="197"/>
      <c r="I30" s="197"/>
      <c r="J30" s="197"/>
      <c r="K30" s="197"/>
      <c r="L30" s="197"/>
      <c r="M30" s="197"/>
      <c r="N30" s="197"/>
      <c r="O30" s="197"/>
      <c r="P30" s="198"/>
    </row>
    <row r="31" spans="2:26" ht="20.100000000000001" customHeight="1" x14ac:dyDescent="0.25">
      <c r="B31" s="142" t="str">
        <f>IF(ISBLANK(C31)," ",COUNTA($C$3:C31))</f>
        <v xml:space="preserve"> </v>
      </c>
      <c r="C31" s="186"/>
      <c r="D31" s="186"/>
      <c r="E31" s="133"/>
      <c r="G31" s="196"/>
      <c r="H31" s="197"/>
      <c r="I31" s="197"/>
      <c r="J31" s="197"/>
      <c r="K31" s="197"/>
      <c r="L31" s="197"/>
      <c r="M31" s="197"/>
      <c r="N31" s="197"/>
      <c r="O31" s="197"/>
      <c r="P31" s="198"/>
    </row>
    <row r="32" spans="2:26" ht="20.100000000000001" customHeight="1" x14ac:dyDescent="0.25">
      <c r="B32" s="142" t="str">
        <f>IF(ISBLANK(C32)," ",COUNTA($C$3:C32))</f>
        <v xml:space="preserve"> </v>
      </c>
      <c r="C32" s="186"/>
      <c r="D32" s="186"/>
      <c r="E32" s="134"/>
      <c r="G32" s="196"/>
      <c r="H32" s="197"/>
      <c r="I32" s="197"/>
      <c r="J32" s="197"/>
      <c r="K32" s="197"/>
      <c r="L32" s="197"/>
      <c r="M32" s="197"/>
      <c r="N32" s="197"/>
      <c r="O32" s="197"/>
      <c r="P32" s="198"/>
    </row>
    <row r="33" spans="2:16" ht="20.100000000000001" customHeight="1" x14ac:dyDescent="0.25">
      <c r="B33" s="142" t="str">
        <f>IF(ISBLANK(C33)," ",COUNTA($C$3:C33))</f>
        <v xml:space="preserve"> </v>
      </c>
      <c r="C33" s="186"/>
      <c r="D33" s="186"/>
      <c r="E33" s="133"/>
      <c r="G33" s="196"/>
      <c r="H33" s="197"/>
      <c r="I33" s="197"/>
      <c r="J33" s="197"/>
      <c r="K33" s="197"/>
      <c r="L33" s="197"/>
      <c r="M33" s="197"/>
      <c r="N33" s="197"/>
      <c r="O33" s="197"/>
      <c r="P33" s="198"/>
    </row>
    <row r="34" spans="2:16" ht="20.100000000000001" customHeight="1" x14ac:dyDescent="0.25">
      <c r="B34" s="142" t="str">
        <f>IF(ISBLANK(C34)," ",COUNTA($C$3:C34))</f>
        <v xml:space="preserve"> </v>
      </c>
      <c r="C34" s="186"/>
      <c r="D34" s="186"/>
      <c r="E34" s="134"/>
      <c r="G34" s="196"/>
      <c r="H34" s="197"/>
      <c r="I34" s="197"/>
      <c r="J34" s="197"/>
      <c r="K34" s="197"/>
      <c r="L34" s="197"/>
      <c r="M34" s="197"/>
      <c r="N34" s="197"/>
      <c r="O34" s="197"/>
      <c r="P34" s="198"/>
    </row>
    <row r="35" spans="2:16" ht="20.100000000000001" customHeight="1" x14ac:dyDescent="0.25">
      <c r="B35" s="142" t="str">
        <f>IF(ISBLANK(C35)," ",COUNTA($C$3:C35))</f>
        <v xml:space="preserve"> </v>
      </c>
      <c r="C35" s="186"/>
      <c r="D35" s="186"/>
      <c r="E35" s="133"/>
      <c r="G35" s="196"/>
      <c r="H35" s="197"/>
      <c r="I35" s="197"/>
      <c r="J35" s="197"/>
      <c r="K35" s="197"/>
      <c r="L35" s="197"/>
      <c r="M35" s="197"/>
      <c r="N35" s="197"/>
      <c r="O35" s="197"/>
      <c r="P35" s="198"/>
    </row>
    <row r="36" spans="2:16" ht="20.100000000000001" customHeight="1" x14ac:dyDescent="0.25">
      <c r="B36" s="142" t="str">
        <f>IF(ISBLANK(C36)," ",COUNTA($C$3:C36))</f>
        <v xml:space="preserve"> </v>
      </c>
      <c r="C36" s="186"/>
      <c r="D36" s="186"/>
      <c r="E36" s="134"/>
      <c r="G36" s="196"/>
      <c r="H36" s="197"/>
      <c r="I36" s="197"/>
      <c r="J36" s="197"/>
      <c r="K36" s="197"/>
      <c r="L36" s="197"/>
      <c r="M36" s="197"/>
      <c r="N36" s="197"/>
      <c r="O36" s="197"/>
      <c r="P36" s="198"/>
    </row>
    <row r="37" spans="2:16" ht="20.100000000000001" customHeight="1" x14ac:dyDescent="0.25">
      <c r="B37" s="142" t="str">
        <f>IF(ISBLANK(C37)," ",COUNTA($C$3:C37))</f>
        <v xml:space="preserve"> </v>
      </c>
      <c r="C37" s="186"/>
      <c r="D37" s="186"/>
      <c r="E37" s="133"/>
      <c r="G37" s="196"/>
      <c r="H37" s="197"/>
      <c r="I37" s="197"/>
      <c r="J37" s="197"/>
      <c r="K37" s="197"/>
      <c r="L37" s="197"/>
      <c r="M37" s="197"/>
      <c r="N37" s="197"/>
      <c r="O37" s="197"/>
      <c r="P37" s="198"/>
    </row>
    <row r="38" spans="2:16" ht="20.100000000000001" customHeight="1" thickBot="1" x14ac:dyDescent="0.3">
      <c r="B38" s="142" t="str">
        <f>IF(ISBLANK(C38)," ",COUNTA($C$3:C38))</f>
        <v xml:space="preserve"> </v>
      </c>
      <c r="C38" s="186"/>
      <c r="D38" s="186"/>
      <c r="E38" s="134"/>
      <c r="G38" s="199"/>
      <c r="H38" s="200"/>
      <c r="I38" s="200"/>
      <c r="J38" s="200"/>
      <c r="K38" s="200"/>
      <c r="L38" s="200"/>
      <c r="M38" s="200"/>
      <c r="N38" s="200"/>
      <c r="O38" s="200"/>
      <c r="P38" s="201"/>
    </row>
    <row r="39" spans="2:16" ht="20.100000000000001" customHeight="1" x14ac:dyDescent="0.25">
      <c r="B39" s="142" t="str">
        <f>IF(ISBLANK(C39)," ",COUNTA($C$3:C39))</f>
        <v xml:space="preserve"> </v>
      </c>
      <c r="C39" s="186"/>
      <c r="D39" s="186"/>
      <c r="E39" s="133"/>
      <c r="G39" s="180"/>
      <c r="H39" s="180"/>
      <c r="I39" s="180"/>
      <c r="J39" s="180"/>
      <c r="K39" s="180"/>
      <c r="L39" s="180"/>
      <c r="M39" s="180"/>
      <c r="N39" s="180"/>
      <c r="O39" s="180"/>
      <c r="P39" s="180"/>
    </row>
    <row r="40" spans="2:16" ht="20.100000000000001" customHeight="1" x14ac:dyDescent="0.25">
      <c r="B40" s="142" t="str">
        <f>IF(ISBLANK(C40)," ",COUNTA($C$3:C40))</f>
        <v xml:space="preserve"> </v>
      </c>
      <c r="C40" s="186"/>
      <c r="D40" s="186"/>
      <c r="E40" s="134"/>
      <c r="G40" s="180"/>
      <c r="H40" s="180"/>
      <c r="I40" s="180"/>
      <c r="J40" s="180"/>
      <c r="K40" s="180"/>
      <c r="L40" s="180"/>
      <c r="M40" s="180"/>
      <c r="N40" s="180"/>
      <c r="O40" s="180"/>
      <c r="P40" s="180"/>
    </row>
    <row r="41" spans="2:16" ht="20.100000000000001" customHeight="1" x14ac:dyDescent="0.25">
      <c r="B41" s="142" t="str">
        <f>IF(ISBLANK(C41)," ",COUNTA($C$3:C41))</f>
        <v xml:space="preserve"> </v>
      </c>
      <c r="C41" s="186"/>
      <c r="D41" s="186"/>
      <c r="E41" s="133"/>
      <c r="G41" s="122"/>
      <c r="H41" s="122"/>
      <c r="I41" s="122"/>
      <c r="J41" s="122"/>
      <c r="K41" s="122"/>
      <c r="L41" s="122"/>
      <c r="M41" s="122"/>
      <c r="N41" s="122"/>
      <c r="O41" s="122"/>
      <c r="P41" s="122"/>
    </row>
    <row r="42" spans="2:16" ht="20.100000000000001" customHeight="1" x14ac:dyDescent="0.25">
      <c r="B42" s="142" t="str">
        <f>IF(ISBLANK(C42)," ",COUNTA($C$3:C42))</f>
        <v xml:space="preserve"> </v>
      </c>
      <c r="C42" s="186"/>
      <c r="D42" s="186"/>
      <c r="E42" s="134"/>
      <c r="G42" s="122"/>
      <c r="H42" s="122"/>
      <c r="I42" s="122"/>
      <c r="J42" s="122"/>
      <c r="K42" s="122"/>
      <c r="L42" s="122"/>
      <c r="M42" s="122"/>
      <c r="N42" s="122"/>
      <c r="O42" s="122"/>
      <c r="P42" s="122"/>
    </row>
    <row r="43" spans="2:16" ht="20.100000000000001" customHeight="1" x14ac:dyDescent="0.25">
      <c r="B43" s="142" t="str">
        <f>IF(ISBLANK(C43)," ",COUNTA($C$3:C43))</f>
        <v xml:space="preserve"> </v>
      </c>
      <c r="C43" s="186"/>
      <c r="D43" s="186"/>
      <c r="E43" s="133"/>
      <c r="G43" s="122"/>
      <c r="H43" s="122"/>
      <c r="I43" s="122"/>
      <c r="J43" s="122"/>
      <c r="K43" s="122"/>
      <c r="L43" s="122"/>
      <c r="M43" s="122"/>
      <c r="N43" s="122"/>
      <c r="O43" s="122"/>
      <c r="P43" s="122"/>
    </row>
    <row r="44" spans="2:16" ht="20.100000000000001" customHeight="1" x14ac:dyDescent="0.25">
      <c r="B44" s="142" t="str">
        <f>IF(ISBLANK(C44)," ",COUNTA($C$3:C44))</f>
        <v xml:space="preserve"> </v>
      </c>
      <c r="C44" s="186"/>
      <c r="D44" s="186"/>
      <c r="E44" s="134"/>
      <c r="G44" s="122"/>
      <c r="H44" s="122"/>
      <c r="I44" s="122"/>
      <c r="J44" s="122"/>
      <c r="K44" s="122"/>
      <c r="L44" s="122"/>
      <c r="M44" s="122"/>
      <c r="N44" s="122"/>
      <c r="O44" s="122"/>
      <c r="P44" s="122"/>
    </row>
    <row r="45" spans="2:16" ht="20.100000000000001" customHeight="1" x14ac:dyDescent="0.25">
      <c r="B45" s="142" t="str">
        <f>IF(ISBLANK(C45)," ",COUNTA($C$3:C45))</f>
        <v xml:space="preserve"> </v>
      </c>
      <c r="C45" s="186"/>
      <c r="D45" s="186"/>
      <c r="E45" s="133"/>
      <c r="G45" s="122"/>
      <c r="H45" s="122"/>
      <c r="I45" s="122"/>
      <c r="J45" s="122"/>
      <c r="K45" s="122"/>
      <c r="L45" s="122"/>
      <c r="M45" s="122"/>
      <c r="N45" s="122"/>
      <c r="O45" s="122"/>
      <c r="P45" s="122"/>
    </row>
    <row r="46" spans="2:16" ht="20.100000000000001" customHeight="1" x14ac:dyDescent="0.25">
      <c r="B46" s="142" t="str">
        <f>IF(ISBLANK(C46)," ",COUNTA($C$3:C46))</f>
        <v xml:space="preserve"> </v>
      </c>
      <c r="C46" s="186"/>
      <c r="D46" s="186"/>
      <c r="E46" s="134"/>
      <c r="G46" s="122"/>
      <c r="H46" s="122"/>
      <c r="I46" s="122"/>
      <c r="J46" s="122"/>
      <c r="K46" s="122"/>
      <c r="L46" s="122"/>
      <c r="M46" s="122"/>
      <c r="N46" s="122"/>
      <c r="O46" s="122"/>
      <c r="P46" s="122"/>
    </row>
    <row r="47" spans="2:16" ht="20.100000000000001" customHeight="1" x14ac:dyDescent="0.25">
      <c r="B47" s="142" t="str">
        <f>IF(ISBLANK(C47)," ",COUNTA($C$3:C47))</f>
        <v xml:space="preserve"> </v>
      </c>
      <c r="C47" s="186"/>
      <c r="D47" s="186"/>
      <c r="E47" s="133"/>
      <c r="G47" s="7"/>
      <c r="H47" s="7"/>
      <c r="I47" s="7"/>
      <c r="J47" s="7"/>
      <c r="K47" s="7"/>
      <c r="L47" s="7"/>
      <c r="M47" s="7"/>
      <c r="N47" s="7"/>
      <c r="O47" s="7"/>
      <c r="P47" s="7"/>
    </row>
    <row r="48" spans="2:16" ht="20.100000000000001" customHeight="1" x14ac:dyDescent="0.25">
      <c r="B48" s="142" t="str">
        <f>IF(ISBLANK(C48)," ",COUNTA($C$3:C48))</f>
        <v xml:space="preserve"> </v>
      </c>
      <c r="C48" s="186"/>
      <c r="D48" s="186"/>
      <c r="E48" s="134"/>
    </row>
    <row r="49" spans="2:5" ht="20.100000000000001" customHeight="1" x14ac:dyDescent="0.25">
      <c r="B49" s="142" t="str">
        <f>IF(ISBLANK(C49)," ",COUNTA($C$3:C49))</f>
        <v xml:space="preserve"> </v>
      </c>
      <c r="C49" s="186"/>
      <c r="D49" s="186"/>
      <c r="E49" s="133"/>
    </row>
    <row r="50" spans="2:5" ht="20.100000000000001" customHeight="1" x14ac:dyDescent="0.25">
      <c r="B50" s="142" t="str">
        <f>IF(ISBLANK(C50)," ",COUNTA($C$3:C50))</f>
        <v xml:space="preserve"> </v>
      </c>
      <c r="C50" s="186"/>
      <c r="D50" s="186"/>
      <c r="E50" s="134"/>
    </row>
    <row r="51" spans="2:5" ht="20.100000000000001" customHeight="1" x14ac:dyDescent="0.25">
      <c r="B51" s="142" t="str">
        <f>IF(ISBLANK(C51)," ",COUNTA($C$3:C51))</f>
        <v xml:space="preserve"> </v>
      </c>
      <c r="C51" s="186"/>
      <c r="D51" s="186"/>
      <c r="E51" s="133"/>
    </row>
    <row r="52" spans="2:5" ht="20.100000000000001" customHeight="1" x14ac:dyDescent="0.25">
      <c r="B52" s="142" t="str">
        <f>IF(ISBLANK(C52)," ",COUNTA($C$3:C52))</f>
        <v xml:space="preserve"> </v>
      </c>
      <c r="C52" s="186"/>
      <c r="D52" s="186"/>
      <c r="E52" s="134"/>
    </row>
    <row r="53" spans="2:5" ht="20.100000000000001" customHeight="1" x14ac:dyDescent="0.25">
      <c r="B53" s="142" t="str">
        <f>IF(ISBLANK(C53)," ",COUNTA($C$3:C53))</f>
        <v xml:space="preserve"> </v>
      </c>
      <c r="C53" s="186"/>
      <c r="D53" s="186"/>
      <c r="E53" s="133"/>
    </row>
    <row r="54" spans="2:5" ht="20.100000000000001" customHeight="1" x14ac:dyDescent="0.25">
      <c r="B54" s="142" t="str">
        <f>IF(ISBLANK(C54)," ",COUNTA($C$3:C54))</f>
        <v xml:space="preserve"> </v>
      </c>
      <c r="C54" s="186"/>
      <c r="D54" s="186"/>
      <c r="E54" s="134"/>
    </row>
    <row r="55" spans="2:5" ht="20.100000000000001" customHeight="1" x14ac:dyDescent="0.25">
      <c r="B55" s="142" t="str">
        <f>IF(ISBLANK(C55)," ",COUNTA($C$3:C55))</f>
        <v xml:space="preserve"> </v>
      </c>
      <c r="C55" s="186"/>
      <c r="D55" s="186"/>
      <c r="E55" s="133"/>
    </row>
    <row r="56" spans="2:5" ht="20.100000000000001" customHeight="1" x14ac:dyDescent="0.25">
      <c r="B56" s="142" t="str">
        <f>IF(ISBLANK(C56)," ",COUNTA($C$3:C56))</f>
        <v xml:space="preserve"> </v>
      </c>
      <c r="C56" s="186"/>
      <c r="D56" s="186"/>
      <c r="E56" s="134"/>
    </row>
    <row r="57" spans="2:5" ht="20.100000000000001" customHeight="1" x14ac:dyDescent="0.25">
      <c r="B57" s="142" t="str">
        <f>IF(ISBLANK(C57)," ",COUNTA($C$3:C57))</f>
        <v xml:space="preserve"> </v>
      </c>
      <c r="C57" s="186"/>
      <c r="D57" s="186"/>
      <c r="E57" s="133"/>
    </row>
    <row r="58" spans="2:5" ht="20.100000000000001" customHeight="1" x14ac:dyDescent="0.25">
      <c r="B58" s="142" t="str">
        <f>IF(ISBLANK(C58)," ",COUNTA($C$3:C58))</f>
        <v xml:space="preserve"> </v>
      </c>
      <c r="C58" s="186"/>
      <c r="D58" s="186"/>
      <c r="E58" s="134"/>
    </row>
    <row r="59" spans="2:5" ht="20.100000000000001" customHeight="1" x14ac:dyDescent="0.25">
      <c r="B59" s="142" t="str">
        <f>IF(ISBLANK(C59)," ",COUNTA($C$3:C59))</f>
        <v xml:space="preserve"> </v>
      </c>
      <c r="C59" s="186"/>
      <c r="D59" s="186"/>
      <c r="E59" s="133"/>
    </row>
    <row r="60" spans="2:5" ht="20.100000000000001" customHeight="1" x14ac:dyDescent="0.25">
      <c r="B60" s="142" t="str">
        <f>IF(ISBLANK(C60)," ",COUNTA($C$3:C60))</f>
        <v xml:space="preserve"> </v>
      </c>
      <c r="C60" s="186"/>
      <c r="D60" s="186"/>
      <c r="E60" s="134"/>
    </row>
    <row r="61" spans="2:5" ht="20.100000000000001" customHeight="1" x14ac:dyDescent="0.25">
      <c r="B61" s="142" t="str">
        <f>IF(ISBLANK(C61)," ",COUNTA($C$3:C61))</f>
        <v xml:space="preserve"> </v>
      </c>
      <c r="C61" s="186"/>
      <c r="D61" s="186"/>
      <c r="E61" s="133"/>
    </row>
    <row r="62" spans="2:5" ht="20.100000000000001" customHeight="1" x14ac:dyDescent="0.25">
      <c r="B62" s="142" t="str">
        <f>IF(ISBLANK(C62)," ",COUNTA($C$3:C62))</f>
        <v xml:space="preserve"> </v>
      </c>
      <c r="C62" s="186"/>
      <c r="D62" s="186"/>
      <c r="E62" s="134"/>
    </row>
    <row r="63" spans="2:5" ht="20.100000000000001" customHeight="1" x14ac:dyDescent="0.25">
      <c r="B63" s="142" t="str">
        <f>IF(ISBLANK(C63)," ",COUNTA($C$3:C63))</f>
        <v xml:space="preserve"> </v>
      </c>
      <c r="C63" s="186"/>
      <c r="D63" s="186"/>
      <c r="E63" s="133"/>
    </row>
    <row r="64" spans="2:5" ht="20.100000000000001" customHeight="1" x14ac:dyDescent="0.25">
      <c r="B64" s="142" t="str">
        <f>IF(ISBLANK(C64)," ",COUNTA($C$3:C64))</f>
        <v xml:space="preserve"> </v>
      </c>
      <c r="C64" s="186"/>
      <c r="D64" s="186"/>
      <c r="E64" s="134"/>
    </row>
    <row r="65" spans="2:5" ht="20.100000000000001" customHeight="1" x14ac:dyDescent="0.25">
      <c r="B65" s="142" t="str">
        <f>IF(ISBLANK(C65)," ",COUNTA($C$3:C65))</f>
        <v xml:space="preserve"> </v>
      </c>
      <c r="C65" s="186"/>
      <c r="D65" s="186"/>
      <c r="E65" s="133"/>
    </row>
    <row r="66" spans="2:5" ht="20.100000000000001" customHeight="1" x14ac:dyDescent="0.25">
      <c r="B66" s="142" t="str">
        <f>IF(ISBLANK(C66)," ",COUNTA($C$3:C66))</f>
        <v xml:space="preserve"> </v>
      </c>
      <c r="C66" s="186"/>
      <c r="D66" s="186"/>
      <c r="E66" s="134"/>
    </row>
    <row r="67" spans="2:5" ht="20.100000000000001" customHeight="1" x14ac:dyDescent="0.25">
      <c r="B67" s="142" t="str">
        <f>IF(ISBLANK(C67)," ",COUNTA($C$3:C67))</f>
        <v xml:space="preserve"> </v>
      </c>
      <c r="C67" s="186"/>
      <c r="D67" s="186"/>
      <c r="E67" s="133"/>
    </row>
    <row r="68" spans="2:5" ht="20.100000000000001" customHeight="1" x14ac:dyDescent="0.25">
      <c r="B68" s="142" t="str">
        <f>IF(ISBLANK(C68)," ",COUNTA($C$3:C68))</f>
        <v xml:space="preserve"> </v>
      </c>
      <c r="C68" s="186"/>
      <c r="D68" s="186"/>
      <c r="E68" s="134"/>
    </row>
    <row r="69" spans="2:5" ht="20.100000000000001" customHeight="1" x14ac:dyDescent="0.25">
      <c r="B69" s="142" t="str">
        <f>IF(ISBLANK(C69)," ",COUNTA($C$3:C69))</f>
        <v xml:space="preserve"> </v>
      </c>
      <c r="C69" s="186"/>
      <c r="D69" s="186"/>
      <c r="E69" s="133"/>
    </row>
    <row r="70" spans="2:5" ht="20.100000000000001" customHeight="1" x14ac:dyDescent="0.25">
      <c r="B70" s="142" t="str">
        <f>IF(ISBLANK(C70)," ",COUNTA($C$3:C70))</f>
        <v xml:space="preserve"> </v>
      </c>
      <c r="C70" s="186"/>
      <c r="D70" s="186"/>
      <c r="E70" s="134"/>
    </row>
    <row r="71" spans="2:5" ht="20.100000000000001" customHeight="1" x14ac:dyDescent="0.25">
      <c r="B71" s="142" t="str">
        <f>IF(ISBLANK(C71)," ",COUNTA($C$3:C71))</f>
        <v xml:space="preserve"> </v>
      </c>
      <c r="C71" s="186"/>
      <c r="D71" s="186"/>
      <c r="E71" s="133"/>
    </row>
    <row r="72" spans="2:5" ht="20.100000000000001" customHeight="1" x14ac:dyDescent="0.25">
      <c r="B72" s="142" t="str">
        <f>IF(ISBLANK(C72)," ",COUNTA($C$3:C72))</f>
        <v xml:space="preserve"> </v>
      </c>
      <c r="C72" s="186"/>
      <c r="D72" s="186"/>
      <c r="E72" s="134"/>
    </row>
    <row r="73" spans="2:5" ht="20.100000000000001" customHeight="1" x14ac:dyDescent="0.25">
      <c r="B73" s="142" t="str">
        <f>IF(ISBLANK(C73)," ",COUNTA($C$3:C73))</f>
        <v xml:space="preserve"> </v>
      </c>
      <c r="C73" s="186"/>
      <c r="D73" s="186"/>
      <c r="E73" s="133"/>
    </row>
    <row r="74" spans="2:5" ht="20.100000000000001" customHeight="1" x14ac:dyDescent="0.25">
      <c r="B74" s="142" t="str">
        <f>IF(ISBLANK(C74)," ",COUNTA($C$3:C74))</f>
        <v xml:space="preserve"> </v>
      </c>
      <c r="C74" s="186"/>
      <c r="D74" s="186"/>
      <c r="E74" s="134"/>
    </row>
    <row r="75" spans="2:5" ht="20.100000000000001" customHeight="1" x14ac:dyDescent="0.25">
      <c r="B75" s="142" t="str">
        <f>IF(ISBLANK(C75)," ",COUNTA($C$3:C75))</f>
        <v xml:space="preserve"> </v>
      </c>
      <c r="C75" s="186"/>
      <c r="D75" s="186"/>
      <c r="E75" s="133"/>
    </row>
    <row r="76" spans="2:5" ht="20.100000000000001" customHeight="1" x14ac:dyDescent="0.25">
      <c r="B76" s="142" t="str">
        <f>IF(ISBLANK(C76)," ",COUNTA($C$3:C76))</f>
        <v xml:space="preserve"> </v>
      </c>
      <c r="C76" s="186"/>
      <c r="D76" s="186"/>
      <c r="E76" s="134"/>
    </row>
    <row r="77" spans="2:5" ht="20.100000000000001" customHeight="1" x14ac:dyDescent="0.25">
      <c r="B77" s="142" t="str">
        <f>IF(ISBLANK(C77)," ",COUNTA($C$3:C77))</f>
        <v xml:space="preserve"> </v>
      </c>
      <c r="C77" s="186"/>
      <c r="D77" s="186"/>
      <c r="E77" s="133"/>
    </row>
    <row r="78" spans="2:5" ht="20.100000000000001" customHeight="1" x14ac:dyDescent="0.25">
      <c r="B78" s="142" t="str">
        <f>IF(ISBLANK(C78)," ",COUNTA($C$3:C78))</f>
        <v xml:space="preserve"> </v>
      </c>
      <c r="C78" s="186"/>
      <c r="D78" s="186"/>
      <c r="E78" s="134"/>
    </row>
    <row r="79" spans="2:5" ht="20.100000000000001" customHeight="1" x14ac:dyDescent="0.25">
      <c r="B79" s="142" t="str">
        <f>IF(ISBLANK(C79)," ",COUNTA($C$3:C79))</f>
        <v xml:space="preserve"> </v>
      </c>
      <c r="C79" s="186"/>
      <c r="D79" s="186"/>
      <c r="E79" s="133"/>
    </row>
    <row r="80" spans="2:5" ht="20.100000000000001" customHeight="1" x14ac:dyDescent="0.25">
      <c r="B80" s="142" t="str">
        <f>IF(ISBLANK(C80)," ",COUNTA($C$3:C80))</f>
        <v xml:space="preserve"> </v>
      </c>
      <c r="C80" s="186"/>
      <c r="D80" s="186"/>
      <c r="E80" s="134"/>
    </row>
    <row r="81" spans="2:5" ht="20.100000000000001" customHeight="1" x14ac:dyDescent="0.25">
      <c r="B81" s="142" t="str">
        <f>IF(ISBLANK(C81)," ",COUNTA($C$3:C81))</f>
        <v xml:space="preserve"> </v>
      </c>
      <c r="C81" s="186"/>
      <c r="D81" s="186"/>
      <c r="E81" s="133"/>
    </row>
    <row r="82" spans="2:5" ht="20.100000000000001" customHeight="1" x14ac:dyDescent="0.25">
      <c r="B82" s="142" t="str">
        <f>IF(ISBLANK(C82)," ",COUNTA($C$3:C82))</f>
        <v xml:space="preserve"> </v>
      </c>
      <c r="C82" s="186"/>
      <c r="D82" s="186"/>
      <c r="E82" s="134"/>
    </row>
    <row r="83" spans="2:5" ht="20.100000000000001" customHeight="1" x14ac:dyDescent="0.25">
      <c r="B83" s="142" t="str">
        <f>IF(ISBLANK(C83)," ",COUNTA($C$3:C83))</f>
        <v xml:space="preserve"> </v>
      </c>
      <c r="C83" s="186"/>
      <c r="D83" s="186"/>
      <c r="E83" s="133"/>
    </row>
    <row r="84" spans="2:5" ht="20.100000000000001" customHeight="1" x14ac:dyDescent="0.25">
      <c r="B84" s="142" t="str">
        <f>IF(ISBLANK(C84)," ",COUNTA($C$3:C84))</f>
        <v xml:space="preserve"> </v>
      </c>
      <c r="C84" s="186"/>
      <c r="D84" s="186"/>
      <c r="E84" s="134"/>
    </row>
    <row r="85" spans="2:5" ht="20.100000000000001" customHeight="1" x14ac:dyDescent="0.25">
      <c r="B85" s="142" t="str">
        <f>IF(ISBLANK(C85)," ",COUNTA($C$3:C85))</f>
        <v xml:space="preserve"> </v>
      </c>
      <c r="C85" s="186"/>
      <c r="D85" s="186"/>
      <c r="E85" s="133"/>
    </row>
    <row r="86" spans="2:5" ht="20.100000000000001" customHeight="1" x14ac:dyDescent="0.25">
      <c r="B86" s="142" t="str">
        <f>IF(ISBLANK(C86)," ",COUNTA($C$3:C86))</f>
        <v xml:space="preserve"> </v>
      </c>
      <c r="C86" s="186"/>
      <c r="D86" s="186"/>
      <c r="E86" s="134"/>
    </row>
    <row r="87" spans="2:5" ht="20.100000000000001" customHeight="1" x14ac:dyDescent="0.25">
      <c r="B87" s="142" t="str">
        <f>IF(ISBLANK(C87)," ",COUNTA($C$3:C87))</f>
        <v xml:space="preserve"> </v>
      </c>
      <c r="C87" s="186"/>
      <c r="D87" s="186"/>
      <c r="E87" s="133"/>
    </row>
    <row r="88" spans="2:5" ht="20.100000000000001" customHeight="1" x14ac:dyDescent="0.25">
      <c r="B88" s="142" t="str">
        <f>IF(ISBLANK(C88)," ",COUNTA($C$3:C88))</f>
        <v xml:space="preserve"> </v>
      </c>
      <c r="C88" s="186"/>
      <c r="D88" s="186"/>
      <c r="E88" s="134"/>
    </row>
    <row r="89" spans="2:5" ht="20.100000000000001" customHeight="1" x14ac:dyDescent="0.25">
      <c r="B89" s="142" t="str">
        <f>IF(ISBLANK(C89)," ",COUNTA($C$3:C89))</f>
        <v xml:space="preserve"> </v>
      </c>
      <c r="C89" s="186"/>
      <c r="D89" s="186"/>
      <c r="E89" s="133"/>
    </row>
    <row r="90" spans="2:5" ht="20.100000000000001" customHeight="1" x14ac:dyDescent="0.25">
      <c r="B90" s="142" t="str">
        <f>IF(ISBLANK(C90)," ",COUNTA($C$3:C90))</f>
        <v xml:space="preserve"> </v>
      </c>
      <c r="C90" s="186"/>
      <c r="D90" s="186"/>
      <c r="E90" s="134"/>
    </row>
    <row r="91" spans="2:5" ht="20.100000000000001" customHeight="1" x14ac:dyDescent="0.25">
      <c r="B91" s="142" t="str">
        <f>IF(ISBLANK(C91)," ",COUNTA($C$3:C91))</f>
        <v xml:space="preserve"> </v>
      </c>
      <c r="C91" s="186"/>
      <c r="D91" s="186"/>
      <c r="E91" s="133"/>
    </row>
    <row r="92" spans="2:5" ht="20.100000000000001" customHeight="1" x14ac:dyDescent="0.25">
      <c r="B92" s="142" t="str">
        <f>IF(ISBLANK(C92)," ",COUNTA($C$3:C92))</f>
        <v xml:space="preserve"> </v>
      </c>
      <c r="C92" s="186"/>
      <c r="D92" s="186"/>
      <c r="E92" s="134"/>
    </row>
    <row r="93" spans="2:5" ht="20.100000000000001" customHeight="1" x14ac:dyDescent="0.25">
      <c r="B93" s="142" t="str">
        <f>IF(ISBLANK(C93)," ",COUNTA($C$3:C93))</f>
        <v xml:space="preserve"> </v>
      </c>
      <c r="C93" s="186"/>
      <c r="D93" s="186"/>
      <c r="E93" s="133"/>
    </row>
    <row r="94" spans="2:5" ht="20.100000000000001" customHeight="1" x14ac:dyDescent="0.25">
      <c r="B94" s="142" t="str">
        <f>IF(ISBLANK(C94)," ",COUNTA($C$3:C94))</f>
        <v xml:space="preserve"> </v>
      </c>
      <c r="C94" s="186"/>
      <c r="D94" s="186"/>
      <c r="E94" s="134"/>
    </row>
    <row r="95" spans="2:5" ht="20.100000000000001" customHeight="1" x14ac:dyDescent="0.25">
      <c r="B95" s="142" t="str">
        <f>IF(ISBLANK(C95)," ",COUNTA($C$3:C95))</f>
        <v xml:space="preserve"> </v>
      </c>
      <c r="C95" s="186"/>
      <c r="D95" s="186"/>
      <c r="E95" s="133"/>
    </row>
    <row r="96" spans="2:5" ht="20.100000000000001" customHeight="1" x14ac:dyDescent="0.25">
      <c r="B96" s="142" t="str">
        <f>IF(ISBLANK(C96)," ",COUNTA($C$3:C96))</f>
        <v xml:space="preserve"> </v>
      </c>
      <c r="C96" s="186"/>
      <c r="D96" s="186"/>
      <c r="E96" s="134"/>
    </row>
    <row r="97" spans="2:5" ht="20.100000000000001" customHeight="1" x14ac:dyDescent="0.25">
      <c r="B97" s="142" t="str">
        <f>IF(ISBLANK(C97)," ",COUNTA($C$3:C97))</f>
        <v xml:space="preserve"> </v>
      </c>
      <c r="C97" s="186"/>
      <c r="D97" s="186"/>
      <c r="E97" s="133"/>
    </row>
    <row r="98" spans="2:5" ht="20.100000000000001" customHeight="1" x14ac:dyDescent="0.25">
      <c r="B98" s="142" t="str">
        <f>IF(ISBLANK(C98)," ",COUNTA($C$3:C98))</f>
        <v xml:space="preserve"> </v>
      </c>
      <c r="C98" s="186"/>
      <c r="D98" s="186"/>
      <c r="E98" s="134"/>
    </row>
    <row r="99" spans="2:5" ht="20.100000000000001" customHeight="1" x14ac:dyDescent="0.25">
      <c r="B99" s="142" t="str">
        <f>IF(ISBLANK(C99)," ",COUNTA($C$3:C99))</f>
        <v xml:space="preserve"> </v>
      </c>
      <c r="C99" s="186"/>
      <c r="D99" s="186"/>
      <c r="E99" s="133"/>
    </row>
    <row r="100" spans="2:5" ht="20.100000000000001" customHeight="1" x14ac:dyDescent="0.25">
      <c r="B100" s="142" t="str">
        <f>IF(ISBLANK(C100)," ",COUNTA($C$3:C100))</f>
        <v xml:space="preserve"> </v>
      </c>
      <c r="C100" s="186"/>
      <c r="D100" s="186"/>
      <c r="E100" s="134"/>
    </row>
    <row r="101" spans="2:5" ht="20.100000000000001" customHeight="1" x14ac:dyDescent="0.25">
      <c r="B101" s="142" t="str">
        <f>IF(ISBLANK(C101)," ",COUNTA($C$3:C101))</f>
        <v xml:space="preserve"> </v>
      </c>
      <c r="C101" s="186"/>
      <c r="D101" s="186"/>
      <c r="E101" s="133"/>
    </row>
    <row r="102" spans="2:5" ht="20.100000000000001" customHeight="1" x14ac:dyDescent="0.25">
      <c r="B102" s="142" t="str">
        <f>IF(ISBLANK(C102)," ",COUNTA($C$3:C102))</f>
        <v xml:space="preserve"> </v>
      </c>
      <c r="C102" s="186"/>
      <c r="D102" s="186"/>
      <c r="E102" s="134"/>
    </row>
    <row r="103" spans="2:5" ht="20.100000000000001" customHeight="1" x14ac:dyDescent="0.25">
      <c r="B103" s="142" t="str">
        <f>IF(ISBLANK(C103)," ",COUNTA($C$3:C103))</f>
        <v xml:space="preserve"> </v>
      </c>
      <c r="C103" s="186"/>
      <c r="D103" s="186"/>
      <c r="E103" s="133"/>
    </row>
    <row r="104" spans="2:5" ht="20.100000000000001" customHeight="1" x14ac:dyDescent="0.25">
      <c r="B104" s="142" t="str">
        <f>IF(ISBLANK(C104)," ",COUNTA($C$3:C104))</f>
        <v xml:space="preserve"> </v>
      </c>
      <c r="C104" s="186"/>
      <c r="D104" s="186"/>
      <c r="E104" s="134"/>
    </row>
    <row r="105" spans="2:5" ht="20.100000000000001" customHeight="1" x14ac:dyDescent="0.25">
      <c r="B105" s="142" t="str">
        <f>IF(ISBLANK(C105)," ",COUNTA($C$3:C105))</f>
        <v xml:space="preserve"> </v>
      </c>
      <c r="C105" s="186"/>
      <c r="D105" s="186"/>
      <c r="E105" s="133"/>
    </row>
    <row r="106" spans="2:5" ht="20.100000000000001" customHeight="1" x14ac:dyDescent="0.25">
      <c r="B106" s="142" t="str">
        <f>IF(ISBLANK(C106)," ",COUNTA($C$3:C106))</f>
        <v xml:space="preserve"> </v>
      </c>
      <c r="C106" s="186"/>
      <c r="D106" s="186"/>
      <c r="E106" s="134"/>
    </row>
    <row r="107" spans="2:5" ht="20.100000000000001" customHeight="1" x14ac:dyDescent="0.25">
      <c r="B107" s="142" t="str">
        <f>IF(ISBLANK(C107)," ",COUNTA($C$3:C107))</f>
        <v xml:space="preserve"> </v>
      </c>
      <c r="C107" s="186"/>
      <c r="D107" s="186"/>
      <c r="E107" s="133"/>
    </row>
    <row r="108" spans="2:5" ht="20.100000000000001" customHeight="1" x14ac:dyDescent="0.25">
      <c r="B108" s="142" t="str">
        <f>IF(ISBLANK(C108)," ",COUNTA($C$3:C108))</f>
        <v xml:space="preserve"> </v>
      </c>
      <c r="C108" s="186"/>
      <c r="D108" s="186"/>
      <c r="E108" s="134"/>
    </row>
    <row r="109" spans="2:5" ht="20.100000000000001" customHeight="1" x14ac:dyDescent="0.25">
      <c r="B109" s="142" t="str">
        <f>IF(ISBLANK(C109)," ",COUNTA($C$3:C109))</f>
        <v xml:space="preserve"> </v>
      </c>
      <c r="C109" s="186"/>
      <c r="D109" s="186"/>
      <c r="E109" s="133"/>
    </row>
    <row r="110" spans="2:5" ht="20.100000000000001" customHeight="1" x14ac:dyDescent="0.25">
      <c r="B110" s="142" t="str">
        <f>IF(ISBLANK(C110)," ",COUNTA($C$3:C110))</f>
        <v xml:space="preserve"> </v>
      </c>
      <c r="C110" s="186"/>
      <c r="D110" s="186"/>
      <c r="E110" s="134"/>
    </row>
    <row r="111" spans="2:5" ht="20.100000000000001" customHeight="1" x14ac:dyDescent="0.25">
      <c r="B111" s="142" t="str">
        <f>IF(ISBLANK(C111)," ",COUNTA($C$3:C111))</f>
        <v xml:space="preserve"> </v>
      </c>
      <c r="C111" s="186"/>
      <c r="D111" s="186"/>
      <c r="E111" s="133"/>
    </row>
    <row r="112" spans="2:5" ht="20.100000000000001" customHeight="1" x14ac:dyDescent="0.25">
      <c r="B112" s="142" t="str">
        <f>IF(ISBLANK(C112)," ",COUNTA($C$3:C112))</f>
        <v xml:space="preserve"> </v>
      </c>
      <c r="C112" s="186"/>
      <c r="D112" s="186"/>
      <c r="E112" s="134"/>
    </row>
    <row r="113" spans="2:5" ht="20.100000000000001" customHeight="1" x14ac:dyDescent="0.25">
      <c r="B113" s="142" t="str">
        <f>IF(ISBLANK(C113)," ",COUNTA($C$3:C113))</f>
        <v xml:space="preserve"> </v>
      </c>
      <c r="C113" s="186"/>
      <c r="D113" s="186"/>
      <c r="E113" s="133"/>
    </row>
    <row r="114" spans="2:5" ht="20.100000000000001" customHeight="1" x14ac:dyDescent="0.25">
      <c r="B114" s="142" t="str">
        <f>IF(ISBLANK(C114)," ",COUNTA($C$3:C114))</f>
        <v xml:space="preserve"> </v>
      </c>
      <c r="C114" s="186"/>
      <c r="D114" s="186"/>
      <c r="E114" s="134"/>
    </row>
    <row r="115" spans="2:5" ht="20.100000000000001" customHeight="1" x14ac:dyDescent="0.25">
      <c r="B115" s="142" t="str">
        <f>IF(ISBLANK(C115)," ",COUNTA($C$3:C115))</f>
        <v xml:space="preserve"> </v>
      </c>
      <c r="C115" s="186"/>
      <c r="D115" s="186"/>
      <c r="E115" s="133"/>
    </row>
    <row r="116" spans="2:5" ht="20.100000000000001" customHeight="1" x14ac:dyDescent="0.25">
      <c r="B116" s="142" t="str">
        <f>IF(ISBLANK(C116)," ",COUNTA($C$3:C116))</f>
        <v xml:space="preserve"> </v>
      </c>
      <c r="C116" s="186"/>
      <c r="D116" s="186"/>
      <c r="E116" s="134"/>
    </row>
    <row r="117" spans="2:5" ht="20.100000000000001" customHeight="1" x14ac:dyDescent="0.25">
      <c r="B117" s="142" t="str">
        <f>IF(ISBLANK(C117)," ",COUNTA($C$3:C117))</f>
        <v xml:space="preserve"> </v>
      </c>
      <c r="C117" s="186"/>
      <c r="D117" s="186"/>
      <c r="E117" s="133"/>
    </row>
    <row r="118" spans="2:5" ht="20.100000000000001" customHeight="1" x14ac:dyDescent="0.25">
      <c r="B118" s="142" t="str">
        <f>IF(ISBLANK(C118)," ",COUNTA($C$3:C118))</f>
        <v xml:space="preserve"> </v>
      </c>
      <c r="C118" s="186"/>
      <c r="D118" s="186"/>
      <c r="E118" s="134"/>
    </row>
    <row r="119" spans="2:5" ht="20.100000000000001" customHeight="1" x14ac:dyDescent="0.25">
      <c r="B119" s="142" t="str">
        <f>IF(ISBLANK(C119)," ",COUNTA($C$3:C119))</f>
        <v xml:space="preserve"> </v>
      </c>
      <c r="C119" s="186"/>
      <c r="D119" s="186"/>
      <c r="E119" s="133"/>
    </row>
    <row r="120" spans="2:5" ht="20.100000000000001" customHeight="1" x14ac:dyDescent="0.25">
      <c r="B120" s="142" t="str">
        <f>IF(ISBLANK(C120)," ",COUNTA($C$3:C120))</f>
        <v xml:space="preserve"> </v>
      </c>
      <c r="C120" s="186"/>
      <c r="D120" s="186"/>
      <c r="E120" s="134"/>
    </row>
    <row r="121" spans="2:5" ht="20.100000000000001" customHeight="1" x14ac:dyDescent="0.25">
      <c r="B121" s="142" t="str">
        <f>IF(ISBLANK(C121)," ",COUNTA($C$3:C121))</f>
        <v xml:space="preserve"> </v>
      </c>
      <c r="C121" s="186"/>
      <c r="D121" s="186"/>
      <c r="E121" s="133"/>
    </row>
    <row r="122" spans="2:5" ht="20.100000000000001" customHeight="1" x14ac:dyDescent="0.25">
      <c r="B122" s="142" t="str">
        <f>IF(ISBLANK(C122)," ",COUNTA($C$3:C122))</f>
        <v xml:space="preserve"> </v>
      </c>
      <c r="C122" s="186"/>
      <c r="D122" s="186"/>
      <c r="E122" s="134"/>
    </row>
    <row r="123" spans="2:5" ht="20.100000000000001" customHeight="1" x14ac:dyDescent="0.25">
      <c r="B123" s="142" t="str">
        <f>IF(ISBLANK(C123)," ",COUNTA($C$3:C123))</f>
        <v xml:space="preserve"> </v>
      </c>
      <c r="C123" s="186"/>
      <c r="D123" s="186"/>
      <c r="E123" s="133"/>
    </row>
    <row r="124" spans="2:5" ht="20.100000000000001" customHeight="1" x14ac:dyDescent="0.25">
      <c r="B124" s="142" t="str">
        <f>IF(ISBLANK(C124)," ",COUNTA($C$3:C124))</f>
        <v xml:space="preserve"> </v>
      </c>
      <c r="C124" s="186"/>
      <c r="D124" s="186"/>
      <c r="E124" s="134"/>
    </row>
    <row r="125" spans="2:5" ht="20.100000000000001" customHeight="1" x14ac:dyDescent="0.25">
      <c r="B125" s="142" t="str">
        <f>IF(ISBLANK(C125)," ",COUNTA($C$3:C125))</f>
        <v xml:space="preserve"> </v>
      </c>
      <c r="C125" s="186"/>
      <c r="D125" s="186"/>
      <c r="E125" s="133"/>
    </row>
    <row r="126" spans="2:5" ht="20.100000000000001" customHeight="1" x14ac:dyDescent="0.25">
      <c r="B126" s="142" t="str">
        <f>IF(ISBLANK(C126)," ",COUNTA($C$3:C126))</f>
        <v xml:space="preserve"> </v>
      </c>
      <c r="C126" s="186"/>
      <c r="D126" s="186"/>
      <c r="E126" s="134"/>
    </row>
    <row r="127" spans="2:5" ht="20.100000000000001" customHeight="1" x14ac:dyDescent="0.25">
      <c r="B127" s="142" t="str">
        <f>IF(ISBLANK(C127)," ",COUNTA($C$3:C127))</f>
        <v xml:space="preserve"> </v>
      </c>
      <c r="C127" s="186"/>
      <c r="D127" s="186"/>
      <c r="E127" s="133"/>
    </row>
    <row r="128" spans="2:5" ht="20.100000000000001" customHeight="1" x14ac:dyDescent="0.25">
      <c r="B128" s="142" t="str">
        <f>IF(ISBLANK(C128)," ",COUNTA($C$3:C128))</f>
        <v xml:space="preserve"> </v>
      </c>
      <c r="C128" s="186"/>
      <c r="D128" s="186"/>
      <c r="E128" s="134"/>
    </row>
    <row r="129" spans="2:5" ht="20.100000000000001" customHeight="1" x14ac:dyDescent="0.25">
      <c r="B129" s="142" t="str">
        <f>IF(ISBLANK(C129)," ",COUNTA($C$3:C129))</f>
        <v xml:space="preserve"> </v>
      </c>
      <c r="C129" s="186"/>
      <c r="D129" s="186"/>
      <c r="E129" s="133"/>
    </row>
    <row r="130" spans="2:5" ht="20.100000000000001" customHeight="1" x14ac:dyDescent="0.25">
      <c r="B130" s="142" t="str">
        <f>IF(ISBLANK(C130)," ",COUNTA($C$3:C130))</f>
        <v xml:space="preserve"> </v>
      </c>
      <c r="C130" s="186"/>
      <c r="D130" s="186"/>
      <c r="E130" s="134"/>
    </row>
    <row r="131" spans="2:5" ht="20.100000000000001" customHeight="1" x14ac:dyDescent="0.25">
      <c r="B131" s="142" t="str">
        <f>IF(ISBLANK(C131)," ",COUNTA($C$3:C131))</f>
        <v xml:space="preserve"> </v>
      </c>
      <c r="C131" s="186"/>
      <c r="D131" s="186"/>
      <c r="E131" s="133"/>
    </row>
    <row r="132" spans="2:5" ht="20.100000000000001" customHeight="1" x14ac:dyDescent="0.25">
      <c r="B132" s="142" t="str">
        <f>IF(ISBLANK(C132)," ",COUNTA($C$3:C132))</f>
        <v xml:space="preserve"> </v>
      </c>
      <c r="C132" s="186"/>
      <c r="D132" s="186"/>
      <c r="E132" s="134"/>
    </row>
    <row r="133" spans="2:5" ht="20.100000000000001" customHeight="1" x14ac:dyDescent="0.25">
      <c r="B133" s="142" t="str">
        <f>IF(ISBLANK(C133)," ",COUNTA($C$3:C133))</f>
        <v xml:space="preserve"> </v>
      </c>
      <c r="C133" s="186"/>
      <c r="D133" s="186"/>
      <c r="E133" s="133"/>
    </row>
    <row r="134" spans="2:5" ht="20.100000000000001" customHeight="1" x14ac:dyDescent="0.25">
      <c r="B134" s="142" t="str">
        <f>IF(ISBLANK(C134)," ",COUNTA($C$3:C134))</f>
        <v xml:space="preserve"> </v>
      </c>
      <c r="C134" s="186"/>
      <c r="D134" s="186"/>
      <c r="E134" s="134"/>
    </row>
    <row r="135" spans="2:5" ht="20.100000000000001" customHeight="1" x14ac:dyDescent="0.25">
      <c r="B135" s="142" t="str">
        <f>IF(ISBLANK(C135)," ",COUNTA($C$3:C135))</f>
        <v xml:space="preserve"> </v>
      </c>
      <c r="C135" s="186"/>
      <c r="D135" s="186"/>
      <c r="E135" s="133"/>
    </row>
    <row r="136" spans="2:5" ht="20.100000000000001" customHeight="1" x14ac:dyDescent="0.25">
      <c r="B136" s="142" t="str">
        <f>IF(ISBLANK(C136)," ",COUNTA($C$3:C136))</f>
        <v xml:space="preserve"> </v>
      </c>
      <c r="C136" s="186"/>
      <c r="D136" s="186"/>
      <c r="E136" s="134"/>
    </row>
    <row r="137" spans="2:5" ht="20.100000000000001" customHeight="1" x14ac:dyDescent="0.25">
      <c r="B137" s="142" t="str">
        <f>IF(ISBLANK(C137)," ",COUNTA($C$3:C137))</f>
        <v xml:space="preserve"> </v>
      </c>
      <c r="C137" s="186"/>
      <c r="D137" s="186"/>
      <c r="E137" s="133"/>
    </row>
    <row r="138" spans="2:5" ht="20.100000000000001" customHeight="1" x14ac:dyDescent="0.25">
      <c r="B138" s="142" t="str">
        <f>IF(ISBLANK(C138)," ",COUNTA($C$3:C138))</f>
        <v xml:space="preserve"> </v>
      </c>
      <c r="C138" s="186"/>
      <c r="D138" s="186"/>
      <c r="E138" s="134"/>
    </row>
    <row r="139" spans="2:5" ht="20.100000000000001" customHeight="1" x14ac:dyDescent="0.25">
      <c r="B139" s="142" t="str">
        <f>IF(ISBLANK(C139)," ",COUNTA($C$3:C139))</f>
        <v xml:space="preserve"> </v>
      </c>
      <c r="C139" s="186"/>
      <c r="D139" s="186"/>
      <c r="E139" s="133"/>
    </row>
    <row r="140" spans="2:5" ht="20.100000000000001" customHeight="1" x14ac:dyDescent="0.25">
      <c r="B140" s="142" t="str">
        <f>IF(ISBLANK(C140)," ",COUNTA($C$3:C140))</f>
        <v xml:space="preserve"> </v>
      </c>
      <c r="C140" s="186"/>
      <c r="D140" s="186"/>
      <c r="E140" s="134"/>
    </row>
    <row r="141" spans="2:5" ht="20.100000000000001" customHeight="1" x14ac:dyDescent="0.25">
      <c r="B141" s="142" t="str">
        <f>IF(ISBLANK(C141)," ",COUNTA($C$3:C141))</f>
        <v xml:space="preserve"> </v>
      </c>
      <c r="C141" s="186"/>
      <c r="D141" s="186"/>
      <c r="E141" s="133"/>
    </row>
    <row r="142" spans="2:5" ht="20.100000000000001" customHeight="1" x14ac:dyDescent="0.25">
      <c r="B142" s="142" t="str">
        <f>IF(ISBLANK(C142)," ",COUNTA($C$3:C142))</f>
        <v xml:space="preserve"> </v>
      </c>
      <c r="C142" s="186"/>
      <c r="D142" s="186"/>
      <c r="E142" s="134"/>
    </row>
    <row r="143" spans="2:5" ht="20.100000000000001" customHeight="1" x14ac:dyDescent="0.25">
      <c r="B143" s="142" t="str">
        <f>IF(ISBLANK(C143)," ",COUNTA($C$3:C143))</f>
        <v xml:space="preserve"> </v>
      </c>
      <c r="C143" s="186"/>
      <c r="D143" s="186"/>
      <c r="E143" s="133"/>
    </row>
    <row r="144" spans="2:5" ht="20.100000000000001" customHeight="1" x14ac:dyDescent="0.25">
      <c r="B144" s="142" t="str">
        <f>IF(ISBLANK(C144)," ",COUNTA($C$3:C144))</f>
        <v xml:space="preserve"> </v>
      </c>
      <c r="C144" s="186"/>
      <c r="D144" s="186"/>
      <c r="E144" s="134"/>
    </row>
    <row r="145" spans="2:5" ht="20.100000000000001" customHeight="1" x14ac:dyDescent="0.25">
      <c r="B145" s="142" t="str">
        <f>IF(ISBLANK(C145)," ",COUNTA($C$3:C145))</f>
        <v xml:space="preserve"> </v>
      </c>
      <c r="C145" s="186"/>
      <c r="D145" s="186"/>
      <c r="E145" s="133"/>
    </row>
    <row r="146" spans="2:5" ht="20.100000000000001" customHeight="1" x14ac:dyDescent="0.25">
      <c r="B146" s="142" t="str">
        <f>IF(ISBLANK(C146)," ",COUNTA($C$3:C146))</f>
        <v xml:space="preserve"> </v>
      </c>
      <c r="C146" s="186"/>
      <c r="D146" s="186"/>
      <c r="E146" s="134"/>
    </row>
    <row r="147" spans="2:5" ht="20.100000000000001" customHeight="1" x14ac:dyDescent="0.25">
      <c r="B147" s="142" t="str">
        <f>IF(ISBLANK(C147)," ",COUNTA($C$3:C147))</f>
        <v xml:space="preserve"> </v>
      </c>
      <c r="C147" s="186"/>
      <c r="D147" s="186"/>
      <c r="E147" s="133"/>
    </row>
    <row r="148" spans="2:5" ht="20.100000000000001" customHeight="1" x14ac:dyDescent="0.25">
      <c r="B148" s="142" t="str">
        <f>IF(ISBLANK(C148)," ",COUNTA($C$3:C148))</f>
        <v xml:space="preserve"> </v>
      </c>
      <c r="C148" s="186"/>
      <c r="D148" s="186"/>
      <c r="E148" s="134"/>
    </row>
    <row r="149" spans="2:5" ht="20.100000000000001" customHeight="1" x14ac:dyDescent="0.25">
      <c r="B149" s="142" t="str">
        <f>IF(ISBLANK(C149)," ",COUNTA($C$3:C149))</f>
        <v xml:space="preserve"> </v>
      </c>
      <c r="C149" s="186"/>
      <c r="D149" s="186"/>
      <c r="E149" s="133"/>
    </row>
    <row r="150" spans="2:5" ht="20.100000000000001" customHeight="1" x14ac:dyDescent="0.25">
      <c r="B150" s="142" t="str">
        <f>IF(ISBLANK(C150)," ",COUNTA($C$3:C150))</f>
        <v xml:space="preserve"> </v>
      </c>
      <c r="C150" s="186"/>
      <c r="D150" s="186"/>
      <c r="E150" s="134"/>
    </row>
    <row r="151" spans="2:5" ht="20.100000000000001" customHeight="1" x14ac:dyDescent="0.25">
      <c r="B151" s="142" t="str">
        <f>IF(ISBLANK(C151)," ",COUNTA($C$3:C151))</f>
        <v xml:space="preserve"> </v>
      </c>
      <c r="C151" s="186"/>
      <c r="D151" s="186"/>
      <c r="E151" s="133"/>
    </row>
    <row r="152" spans="2:5" ht="20.100000000000001" customHeight="1" x14ac:dyDescent="0.25">
      <c r="B152" s="142" t="str">
        <f>IF(ISBLANK(C152)," ",COUNTA($C$3:C152))</f>
        <v xml:space="preserve"> </v>
      </c>
      <c r="C152" s="186"/>
      <c r="D152" s="186"/>
      <c r="E152" s="134"/>
    </row>
    <row r="153" spans="2:5" ht="20.100000000000001" customHeight="1" x14ac:dyDescent="0.25">
      <c r="B153" s="142" t="str">
        <f>IF(ISBLANK(C153)," ",COUNTA($C$3:C153))</f>
        <v xml:space="preserve"> </v>
      </c>
      <c r="C153" s="186"/>
      <c r="D153" s="186"/>
      <c r="E153" s="133"/>
    </row>
    <row r="154" spans="2:5" ht="20.100000000000001" customHeight="1" x14ac:dyDescent="0.25">
      <c r="B154" s="142" t="str">
        <f>IF(ISBLANK(C154)," ",COUNTA($C$3:C154))</f>
        <v xml:space="preserve"> </v>
      </c>
      <c r="C154" s="186"/>
      <c r="D154" s="186"/>
      <c r="E154" s="134"/>
    </row>
    <row r="155" spans="2:5" ht="20.100000000000001" customHeight="1" x14ac:dyDescent="0.25">
      <c r="B155" s="142" t="str">
        <f>IF(ISBLANK(C155)," ",COUNTA($C$3:C155))</f>
        <v xml:space="preserve"> </v>
      </c>
      <c r="C155" s="186"/>
      <c r="D155" s="186"/>
      <c r="E155" s="133"/>
    </row>
    <row r="156" spans="2:5" ht="20.100000000000001" customHeight="1" x14ac:dyDescent="0.25">
      <c r="B156" s="142" t="str">
        <f>IF(ISBLANK(C156)," ",COUNTA($C$3:C156))</f>
        <v xml:space="preserve"> </v>
      </c>
      <c r="C156" s="186"/>
      <c r="D156" s="186"/>
      <c r="E156" s="134"/>
    </row>
    <row r="157" spans="2:5" ht="20.100000000000001" customHeight="1" x14ac:dyDescent="0.25">
      <c r="B157" s="142" t="str">
        <f>IF(ISBLANK(C157)," ",COUNTA($C$3:C157))</f>
        <v xml:space="preserve"> </v>
      </c>
      <c r="C157" s="186"/>
      <c r="D157" s="186"/>
      <c r="E157" s="133"/>
    </row>
    <row r="158" spans="2:5" ht="20.100000000000001" customHeight="1" x14ac:dyDescent="0.25">
      <c r="B158" s="142" t="str">
        <f>IF(ISBLANK(C158)," ",COUNTA($C$3:C158))</f>
        <v xml:space="preserve"> </v>
      </c>
      <c r="C158" s="186"/>
      <c r="D158" s="186"/>
      <c r="E158" s="134"/>
    </row>
    <row r="159" spans="2:5" ht="20.100000000000001" customHeight="1" x14ac:dyDescent="0.25">
      <c r="B159" s="142" t="str">
        <f>IF(ISBLANK(C159)," ",COUNTA($C$3:C159))</f>
        <v xml:space="preserve"> </v>
      </c>
      <c r="C159" s="186"/>
      <c r="D159" s="186"/>
      <c r="E159" s="133"/>
    </row>
    <row r="160" spans="2:5" ht="20.100000000000001" customHeight="1" x14ac:dyDescent="0.25">
      <c r="B160" s="142" t="str">
        <f>IF(ISBLANK(C160)," ",COUNTA($C$3:C160))</f>
        <v xml:space="preserve"> </v>
      </c>
      <c r="C160" s="186"/>
      <c r="D160" s="186"/>
      <c r="E160" s="134"/>
    </row>
    <row r="161" spans="2:5" ht="20.100000000000001" customHeight="1" x14ac:dyDescent="0.25">
      <c r="B161" s="142" t="str">
        <f>IF(ISBLANK(C161)," ",COUNTA($C$3:C161))</f>
        <v xml:space="preserve"> </v>
      </c>
      <c r="C161" s="186"/>
      <c r="D161" s="186"/>
      <c r="E161" s="133"/>
    </row>
    <row r="162" spans="2:5" ht="20.100000000000001" customHeight="1" x14ac:dyDescent="0.25">
      <c r="B162" s="142" t="str">
        <f>IF(ISBLANK(C162)," ",COUNTA($C$3:C162))</f>
        <v xml:space="preserve"> </v>
      </c>
      <c r="C162" s="186"/>
      <c r="D162" s="186"/>
      <c r="E162" s="134"/>
    </row>
    <row r="163" spans="2:5" ht="20.100000000000001" customHeight="1" x14ac:dyDescent="0.25">
      <c r="B163" s="142" t="str">
        <f>IF(ISBLANK(C163)," ",COUNTA($C$3:C163))</f>
        <v xml:space="preserve"> </v>
      </c>
      <c r="C163" s="186"/>
      <c r="D163" s="186"/>
      <c r="E163" s="133"/>
    </row>
    <row r="164" spans="2:5" ht="20.100000000000001" customHeight="1" x14ac:dyDescent="0.25">
      <c r="B164" s="142" t="str">
        <f>IF(ISBLANK(C164)," ",COUNTA($C$3:C164))</f>
        <v xml:space="preserve"> </v>
      </c>
      <c r="C164" s="186"/>
      <c r="D164" s="186"/>
      <c r="E164" s="134"/>
    </row>
    <row r="165" spans="2:5" ht="20.100000000000001" customHeight="1" x14ac:dyDescent="0.25">
      <c r="B165" s="142" t="str">
        <f>IF(ISBLANK(C165)," ",COUNTA($C$3:C165))</f>
        <v xml:space="preserve"> </v>
      </c>
      <c r="C165" s="186"/>
      <c r="D165" s="186"/>
      <c r="E165" s="133"/>
    </row>
    <row r="166" spans="2:5" ht="20.100000000000001" customHeight="1" x14ac:dyDescent="0.25">
      <c r="B166" s="142" t="str">
        <f>IF(ISBLANK(C166)," ",COUNTA($C$3:C166))</f>
        <v xml:space="preserve"> </v>
      </c>
      <c r="C166" s="186"/>
      <c r="D166" s="186"/>
      <c r="E166" s="134"/>
    </row>
    <row r="167" spans="2:5" ht="20.100000000000001" customHeight="1" x14ac:dyDescent="0.25">
      <c r="B167" s="142" t="str">
        <f>IF(ISBLANK(C167)," ",COUNTA($C$3:C167))</f>
        <v xml:space="preserve"> </v>
      </c>
      <c r="C167" s="186"/>
      <c r="D167" s="186"/>
      <c r="E167" s="133"/>
    </row>
    <row r="168" spans="2:5" ht="20.100000000000001" customHeight="1" x14ac:dyDescent="0.25">
      <c r="B168" s="142" t="str">
        <f>IF(ISBLANK(C168)," ",COUNTA($C$3:C168))</f>
        <v xml:space="preserve"> </v>
      </c>
      <c r="C168" s="186"/>
      <c r="D168" s="186"/>
      <c r="E168" s="134"/>
    </row>
    <row r="169" spans="2:5" ht="20.100000000000001" customHeight="1" x14ac:dyDescent="0.25">
      <c r="B169" s="142" t="str">
        <f>IF(ISBLANK(C169)," ",COUNTA($C$3:C169))</f>
        <v xml:space="preserve"> </v>
      </c>
      <c r="C169" s="186"/>
      <c r="D169" s="186"/>
      <c r="E169" s="133"/>
    </row>
    <row r="170" spans="2:5" ht="20.100000000000001" customHeight="1" x14ac:dyDescent="0.25">
      <c r="B170" s="142" t="str">
        <f>IF(ISBLANK(C170)," ",COUNTA($C$3:C170))</f>
        <v xml:space="preserve"> </v>
      </c>
      <c r="C170" s="186"/>
      <c r="D170" s="186"/>
      <c r="E170" s="134"/>
    </row>
    <row r="171" spans="2:5" ht="20.100000000000001" customHeight="1" x14ac:dyDescent="0.25">
      <c r="B171" s="142" t="str">
        <f>IF(ISBLANK(C171)," ",COUNTA($C$3:C171))</f>
        <v xml:space="preserve"> </v>
      </c>
      <c r="C171" s="186"/>
      <c r="D171" s="186"/>
      <c r="E171" s="133"/>
    </row>
    <row r="172" spans="2:5" ht="20.100000000000001" customHeight="1" x14ac:dyDescent="0.25">
      <c r="B172" s="142" t="str">
        <f>IF(ISBLANK(C172)," ",COUNTA($C$3:C172))</f>
        <v xml:space="preserve"> </v>
      </c>
      <c r="C172" s="186"/>
      <c r="D172" s="186"/>
      <c r="E172" s="134"/>
    </row>
    <row r="173" spans="2:5" ht="20.100000000000001" customHeight="1" x14ac:dyDescent="0.25">
      <c r="B173" s="142" t="str">
        <f>IF(ISBLANK(C173)," ",COUNTA($C$3:C173))</f>
        <v xml:space="preserve"> </v>
      </c>
      <c r="C173" s="186"/>
      <c r="D173" s="186"/>
      <c r="E173" s="133"/>
    </row>
    <row r="174" spans="2:5" ht="20.100000000000001" customHeight="1" x14ac:dyDescent="0.25">
      <c r="B174" s="142" t="str">
        <f>IF(ISBLANK(C174)," ",COUNTA($C$3:C174))</f>
        <v xml:space="preserve"> </v>
      </c>
      <c r="C174" s="186"/>
      <c r="D174" s="186"/>
      <c r="E174" s="134"/>
    </row>
    <row r="175" spans="2:5" ht="20.100000000000001" customHeight="1" x14ac:dyDescent="0.25">
      <c r="B175" s="142" t="str">
        <f>IF(ISBLANK(C175)," ",COUNTA($C$3:C175))</f>
        <v xml:space="preserve"> </v>
      </c>
      <c r="C175" s="186"/>
      <c r="D175" s="186"/>
      <c r="E175" s="133"/>
    </row>
    <row r="176" spans="2:5" ht="20.100000000000001" customHeight="1" x14ac:dyDescent="0.25">
      <c r="B176" s="142" t="str">
        <f>IF(ISBLANK(C176)," ",COUNTA($C$3:C176))</f>
        <v xml:space="preserve"> </v>
      </c>
      <c r="C176" s="186"/>
      <c r="D176" s="186"/>
      <c r="E176" s="134"/>
    </row>
    <row r="177" spans="2:5" ht="20.100000000000001" customHeight="1" x14ac:dyDescent="0.25">
      <c r="B177" s="142" t="str">
        <f>IF(ISBLANK(C177)," ",COUNTA($C$3:C177))</f>
        <v xml:space="preserve"> </v>
      </c>
      <c r="C177" s="186"/>
      <c r="D177" s="186"/>
      <c r="E177" s="133"/>
    </row>
    <row r="178" spans="2:5" ht="20.100000000000001" customHeight="1" x14ac:dyDescent="0.25">
      <c r="B178" s="142" t="str">
        <f>IF(ISBLANK(C178)," ",COUNTA($C$3:C178))</f>
        <v xml:space="preserve"> </v>
      </c>
      <c r="C178" s="186"/>
      <c r="D178" s="186"/>
      <c r="E178" s="134"/>
    </row>
    <row r="179" spans="2:5" ht="20.100000000000001" customHeight="1" x14ac:dyDescent="0.25">
      <c r="B179" s="142" t="str">
        <f>IF(ISBLANK(C179)," ",COUNTA($C$3:C179))</f>
        <v xml:space="preserve"> </v>
      </c>
      <c r="C179" s="186"/>
      <c r="D179" s="186"/>
      <c r="E179" s="133"/>
    </row>
    <row r="180" spans="2:5" ht="20.100000000000001" customHeight="1" x14ac:dyDescent="0.25">
      <c r="B180" s="142" t="str">
        <f>IF(ISBLANK(C180)," ",COUNTA($C$3:C180))</f>
        <v xml:space="preserve"> </v>
      </c>
      <c r="C180" s="186"/>
      <c r="D180" s="186"/>
      <c r="E180" s="134"/>
    </row>
    <row r="181" spans="2:5" ht="20.100000000000001" customHeight="1" x14ac:dyDescent="0.25">
      <c r="B181" s="142" t="str">
        <f>IF(ISBLANK(C181)," ",COUNTA($C$3:C181))</f>
        <v xml:space="preserve"> </v>
      </c>
      <c r="C181" s="186"/>
      <c r="D181" s="186"/>
      <c r="E181" s="133"/>
    </row>
    <row r="182" spans="2:5" ht="20.100000000000001" customHeight="1" x14ac:dyDescent="0.25">
      <c r="B182" s="142" t="str">
        <f>IF(ISBLANK(C182)," ",COUNTA($C$3:C182))</f>
        <v xml:space="preserve"> </v>
      </c>
      <c r="C182" s="186"/>
      <c r="D182" s="186"/>
      <c r="E182" s="134"/>
    </row>
    <row r="183" spans="2:5" ht="20.100000000000001" customHeight="1" x14ac:dyDescent="0.25">
      <c r="B183" s="142" t="str">
        <f>IF(ISBLANK(C183)," ",COUNTA($C$3:C183))</f>
        <v xml:space="preserve"> </v>
      </c>
      <c r="C183" s="186"/>
      <c r="D183" s="186"/>
      <c r="E183" s="133"/>
    </row>
    <row r="184" spans="2:5" ht="20.100000000000001" customHeight="1" x14ac:dyDescent="0.25">
      <c r="B184" s="142" t="str">
        <f>IF(ISBLANK(C184)," ",COUNTA($C$3:C184))</f>
        <v xml:space="preserve"> </v>
      </c>
      <c r="C184" s="186"/>
      <c r="D184" s="186"/>
      <c r="E184" s="134"/>
    </row>
    <row r="185" spans="2:5" ht="20.100000000000001" customHeight="1" x14ac:dyDescent="0.25">
      <c r="B185" s="142" t="str">
        <f>IF(ISBLANK(C185)," ",COUNTA($C$3:C185))</f>
        <v xml:space="preserve"> </v>
      </c>
      <c r="C185" s="186"/>
      <c r="D185" s="186"/>
      <c r="E185" s="133"/>
    </row>
    <row r="186" spans="2:5" ht="20.100000000000001" customHeight="1" x14ac:dyDescent="0.25">
      <c r="B186" s="142" t="str">
        <f>IF(ISBLANK(C186)," ",COUNTA($C$3:C186))</f>
        <v xml:space="preserve"> </v>
      </c>
      <c r="C186" s="186"/>
      <c r="D186" s="186"/>
      <c r="E186" s="134"/>
    </row>
    <row r="187" spans="2:5" ht="20.100000000000001" customHeight="1" x14ac:dyDescent="0.25">
      <c r="B187" s="142" t="str">
        <f>IF(ISBLANK(C187)," ",COUNTA($C$3:C187))</f>
        <v xml:space="preserve"> </v>
      </c>
      <c r="C187" s="186"/>
      <c r="D187" s="186"/>
      <c r="E187" s="133"/>
    </row>
    <row r="188" spans="2:5" ht="20.100000000000001" customHeight="1" x14ac:dyDescent="0.25">
      <c r="B188" s="142" t="str">
        <f>IF(ISBLANK(C188)," ",COUNTA($C$3:C188))</f>
        <v xml:space="preserve"> </v>
      </c>
      <c r="C188" s="186"/>
      <c r="D188" s="186"/>
      <c r="E188" s="134"/>
    </row>
    <row r="189" spans="2:5" ht="20.100000000000001" customHeight="1" x14ac:dyDescent="0.25">
      <c r="B189" s="142" t="str">
        <f>IF(ISBLANK(C189)," ",COUNTA($C$3:C189))</f>
        <v xml:space="preserve"> </v>
      </c>
      <c r="C189" s="186"/>
      <c r="D189" s="186"/>
      <c r="E189" s="133"/>
    </row>
    <row r="190" spans="2:5" ht="20.100000000000001" customHeight="1" x14ac:dyDescent="0.25">
      <c r="B190" s="142" t="str">
        <f>IF(ISBLANK(C190)," ",COUNTA($C$3:C190))</f>
        <v xml:space="preserve"> </v>
      </c>
      <c r="C190" s="186"/>
      <c r="D190" s="186"/>
      <c r="E190" s="134"/>
    </row>
    <row r="191" spans="2:5" ht="20.100000000000001" customHeight="1" x14ac:dyDescent="0.25">
      <c r="B191" s="142" t="str">
        <f>IF(ISBLANK(C191)," ",COUNTA($C$3:C191))</f>
        <v xml:space="preserve"> </v>
      </c>
      <c r="C191" s="186"/>
      <c r="D191" s="186"/>
      <c r="E191" s="133"/>
    </row>
    <row r="192" spans="2:5" ht="20.100000000000001" customHeight="1" x14ac:dyDescent="0.25">
      <c r="B192" s="142" t="str">
        <f>IF(ISBLANK(C192)," ",COUNTA($C$3:C192))</f>
        <v xml:space="preserve"> </v>
      </c>
      <c r="C192" s="186"/>
      <c r="D192" s="186"/>
      <c r="E192" s="134"/>
    </row>
    <row r="193" spans="2:5" ht="20.100000000000001" customHeight="1" x14ac:dyDescent="0.25">
      <c r="B193" s="142" t="str">
        <f>IF(ISBLANK(C193)," ",COUNTA($C$3:C193))</f>
        <v xml:space="preserve"> </v>
      </c>
      <c r="C193" s="186"/>
      <c r="D193" s="186"/>
      <c r="E193" s="133"/>
    </row>
    <row r="194" spans="2:5" ht="20.100000000000001" customHeight="1" x14ac:dyDescent="0.25">
      <c r="B194" s="142" t="str">
        <f>IF(ISBLANK(C194)," ",COUNTA($C$3:C194))</f>
        <v xml:space="preserve"> </v>
      </c>
      <c r="C194" s="186"/>
      <c r="D194" s="186"/>
      <c r="E194" s="134"/>
    </row>
    <row r="195" spans="2:5" ht="20.100000000000001" customHeight="1" x14ac:dyDescent="0.25">
      <c r="B195" s="142" t="str">
        <f>IF(ISBLANK(C195)," ",COUNTA($C$3:C195))</f>
        <v xml:space="preserve"> </v>
      </c>
      <c r="C195" s="186"/>
      <c r="D195" s="186"/>
      <c r="E195" s="133"/>
    </row>
    <row r="196" spans="2:5" ht="20.100000000000001" customHeight="1" x14ac:dyDescent="0.25">
      <c r="B196" s="142" t="str">
        <f>IF(ISBLANK(C196)," ",COUNTA($C$3:C196))</f>
        <v xml:space="preserve"> </v>
      </c>
      <c r="C196" s="186"/>
      <c r="D196" s="186"/>
      <c r="E196" s="134"/>
    </row>
    <row r="197" spans="2:5" ht="20.100000000000001" customHeight="1" x14ac:dyDescent="0.25">
      <c r="B197" s="142" t="str">
        <f>IF(ISBLANK(C197)," ",COUNTA($C$3:C197))</f>
        <v xml:space="preserve"> </v>
      </c>
      <c r="C197" s="186"/>
      <c r="D197" s="186"/>
      <c r="E197" s="133"/>
    </row>
    <row r="198" spans="2:5" ht="20.100000000000001" customHeight="1" x14ac:dyDescent="0.25">
      <c r="B198" s="142" t="str">
        <f>IF(ISBLANK(C198)," ",COUNTA($C$3:C198))</f>
        <v xml:space="preserve"> </v>
      </c>
      <c r="C198" s="186"/>
      <c r="D198" s="186"/>
      <c r="E198" s="134"/>
    </row>
    <row r="199" spans="2:5" ht="20.100000000000001" customHeight="1" x14ac:dyDescent="0.25">
      <c r="B199" s="142" t="str">
        <f>IF(ISBLANK(C199)," ",COUNTA($C$3:C199))</f>
        <v xml:space="preserve"> </v>
      </c>
      <c r="C199" s="186"/>
      <c r="D199" s="186"/>
      <c r="E199" s="133"/>
    </row>
    <row r="200" spans="2:5" ht="20.100000000000001" customHeight="1" x14ac:dyDescent="0.25">
      <c r="B200" s="142" t="str">
        <f>IF(ISBLANK(C200)," ",COUNTA($C$3:C200))</f>
        <v xml:space="preserve"> </v>
      </c>
      <c r="C200" s="186"/>
      <c r="D200" s="186"/>
      <c r="E200" s="134"/>
    </row>
    <row r="201" spans="2:5" ht="20.100000000000001" customHeight="1" x14ac:dyDescent="0.25">
      <c r="B201" s="142" t="str">
        <f>IF(ISBLANK(C201)," ",COUNTA($C$3:C201))</f>
        <v xml:space="preserve"> </v>
      </c>
      <c r="C201" s="186"/>
      <c r="D201" s="186"/>
      <c r="E201" s="133"/>
    </row>
    <row r="202" spans="2:5" ht="20.100000000000001" customHeight="1" x14ac:dyDescent="0.25">
      <c r="B202" s="142" t="str">
        <f>IF(ISBLANK(C202)," ",COUNTA($C$3:C202))</f>
        <v xml:space="preserve"> </v>
      </c>
      <c r="C202" s="186"/>
      <c r="D202" s="186"/>
      <c r="E202" s="134"/>
    </row>
    <row r="203" spans="2:5" ht="20.100000000000001" customHeight="1" x14ac:dyDescent="0.25">
      <c r="B203" s="142" t="str">
        <f>IF(ISBLANK(C203)," ",COUNTA($C$3:C203))</f>
        <v xml:space="preserve"> </v>
      </c>
      <c r="C203" s="186"/>
      <c r="D203" s="186"/>
      <c r="E203" s="133"/>
    </row>
    <row r="204" spans="2:5" ht="20.100000000000001" customHeight="1" x14ac:dyDescent="0.25">
      <c r="B204" s="142" t="str">
        <f>IF(ISBLANK(C204)," ",COUNTA($C$3:C204))</f>
        <v xml:space="preserve"> </v>
      </c>
      <c r="C204" s="186"/>
      <c r="D204" s="186"/>
      <c r="E204" s="134"/>
    </row>
    <row r="205" spans="2:5" ht="20.100000000000001" customHeight="1" x14ac:dyDescent="0.25">
      <c r="B205" s="142" t="str">
        <f>IF(ISBLANK(C205)," ",COUNTA($C$3:C205))</f>
        <v xml:space="preserve"> </v>
      </c>
      <c r="C205" s="186"/>
      <c r="D205" s="186"/>
      <c r="E205" s="133"/>
    </row>
    <row r="206" spans="2:5" ht="20.100000000000001" customHeight="1" x14ac:dyDescent="0.25">
      <c r="B206" s="142" t="str">
        <f>IF(ISBLANK(C206)," ",COUNTA($C$3:C206))</f>
        <v xml:space="preserve"> </v>
      </c>
      <c r="C206" s="186"/>
      <c r="D206" s="186"/>
      <c r="E206" s="134"/>
    </row>
    <row r="207" spans="2:5" ht="20.100000000000001" customHeight="1" x14ac:dyDescent="0.25">
      <c r="B207" s="142" t="str">
        <f>IF(ISBLANK(C207)," ",COUNTA($C$3:C207))</f>
        <v xml:space="preserve"> </v>
      </c>
      <c r="C207" s="186"/>
      <c r="D207" s="186"/>
      <c r="E207" s="133"/>
    </row>
    <row r="208" spans="2:5" ht="20.100000000000001" customHeight="1" x14ac:dyDescent="0.25">
      <c r="B208" s="142" t="str">
        <f>IF(ISBLANK(C208)," ",COUNTA($C$3:C208))</f>
        <v xml:space="preserve"> </v>
      </c>
      <c r="C208" s="186"/>
      <c r="D208" s="186"/>
      <c r="E208" s="134"/>
    </row>
    <row r="209" spans="2:5" ht="20.100000000000001" customHeight="1" x14ac:dyDescent="0.25">
      <c r="B209" s="142" t="str">
        <f>IF(ISBLANK(C209)," ",COUNTA($C$3:C209))</f>
        <v xml:space="preserve"> </v>
      </c>
      <c r="C209" s="186"/>
      <c r="D209" s="186"/>
      <c r="E209" s="133"/>
    </row>
    <row r="210" spans="2:5" ht="20.100000000000001" customHeight="1" x14ac:dyDescent="0.25">
      <c r="B210" s="142" t="str">
        <f>IF(ISBLANK(C210)," ",COUNTA($C$3:C210))</f>
        <v xml:space="preserve"> </v>
      </c>
      <c r="C210" s="186"/>
      <c r="D210" s="186"/>
      <c r="E210" s="134"/>
    </row>
    <row r="211" spans="2:5" ht="20.100000000000001" customHeight="1" x14ac:dyDescent="0.25">
      <c r="B211" s="142" t="str">
        <f>IF(ISBLANK(C211)," ",COUNTA($C$3:C211))</f>
        <v xml:space="preserve"> </v>
      </c>
      <c r="C211" s="186"/>
      <c r="D211" s="186"/>
      <c r="E211" s="133"/>
    </row>
    <row r="212" spans="2:5" ht="20.100000000000001" customHeight="1" x14ac:dyDescent="0.25">
      <c r="B212" s="142" t="str">
        <f>IF(ISBLANK(C212)," ",COUNTA($C$3:C212))</f>
        <v xml:space="preserve"> </v>
      </c>
      <c r="C212" s="186"/>
      <c r="D212" s="186"/>
      <c r="E212" s="134"/>
    </row>
    <row r="213" spans="2:5" ht="20.100000000000001" customHeight="1" x14ac:dyDescent="0.25">
      <c r="B213" s="142" t="str">
        <f>IF(ISBLANK(C213)," ",COUNTA($C$3:C213))</f>
        <v xml:space="preserve"> </v>
      </c>
      <c r="C213" s="186"/>
      <c r="D213" s="186"/>
      <c r="E213" s="133"/>
    </row>
    <row r="214" spans="2:5" ht="20.100000000000001" customHeight="1" x14ac:dyDescent="0.25">
      <c r="B214" s="142" t="str">
        <f>IF(ISBLANK(C214)," ",COUNTA($C$3:C214))</f>
        <v xml:space="preserve"> </v>
      </c>
      <c r="C214" s="186"/>
      <c r="D214" s="186"/>
      <c r="E214" s="134"/>
    </row>
    <row r="215" spans="2:5" ht="20.100000000000001" customHeight="1" x14ac:dyDescent="0.25">
      <c r="B215" s="142" t="str">
        <f>IF(ISBLANK(C215)," ",COUNTA($C$3:C215))</f>
        <v xml:space="preserve"> </v>
      </c>
      <c r="C215" s="186"/>
      <c r="D215" s="186"/>
      <c r="E215" s="133"/>
    </row>
    <row r="216" spans="2:5" ht="20.100000000000001" customHeight="1" x14ac:dyDescent="0.25">
      <c r="B216" s="142" t="str">
        <f>IF(ISBLANK(C216)," ",COUNTA($C$3:C216))</f>
        <v xml:space="preserve"> </v>
      </c>
      <c r="C216" s="186"/>
      <c r="D216" s="186"/>
      <c r="E216" s="134"/>
    </row>
    <row r="217" spans="2:5" ht="20.100000000000001" customHeight="1" x14ac:dyDescent="0.25">
      <c r="B217" s="142" t="str">
        <f>IF(ISBLANK(C217)," ",COUNTA($C$3:C217))</f>
        <v xml:space="preserve"> </v>
      </c>
      <c r="C217" s="186"/>
      <c r="D217" s="186"/>
      <c r="E217" s="133"/>
    </row>
    <row r="218" spans="2:5" ht="20.100000000000001" customHeight="1" x14ac:dyDescent="0.25">
      <c r="B218" s="142" t="str">
        <f>IF(ISBLANK(C218)," ",COUNTA($C$3:C218))</f>
        <v xml:space="preserve"> </v>
      </c>
      <c r="C218" s="186"/>
      <c r="D218" s="186"/>
      <c r="E218" s="134"/>
    </row>
    <row r="219" spans="2:5" ht="20.100000000000001" customHeight="1" x14ac:dyDescent="0.25">
      <c r="B219" s="142" t="str">
        <f>IF(ISBLANK(C219)," ",COUNTA($C$3:C219))</f>
        <v xml:space="preserve"> </v>
      </c>
      <c r="C219" s="186"/>
      <c r="D219" s="186"/>
      <c r="E219" s="133"/>
    </row>
    <row r="220" spans="2:5" ht="20.100000000000001" customHeight="1" x14ac:dyDescent="0.25">
      <c r="B220" s="142" t="str">
        <f>IF(ISBLANK(C220)," ",COUNTA($C$3:C220))</f>
        <v xml:space="preserve"> </v>
      </c>
      <c r="C220" s="186"/>
      <c r="D220" s="186"/>
      <c r="E220" s="134"/>
    </row>
    <row r="221" spans="2:5" ht="20.100000000000001" customHeight="1" x14ac:dyDescent="0.25">
      <c r="B221" s="142" t="str">
        <f>IF(ISBLANK(C221)," ",COUNTA($C$3:C221))</f>
        <v xml:space="preserve"> </v>
      </c>
      <c r="C221" s="186"/>
      <c r="D221" s="186"/>
      <c r="E221" s="133"/>
    </row>
    <row r="222" spans="2:5" ht="20.100000000000001" customHeight="1" x14ac:dyDescent="0.25">
      <c r="B222" s="142" t="str">
        <f>IF(ISBLANK(C222)," ",COUNTA($C$3:C222))</f>
        <v xml:space="preserve"> </v>
      </c>
      <c r="C222" s="186"/>
      <c r="D222" s="186"/>
      <c r="E222" s="134"/>
    </row>
    <row r="223" spans="2:5" ht="20.100000000000001" customHeight="1" x14ac:dyDescent="0.25">
      <c r="B223" s="142" t="str">
        <f>IF(ISBLANK(C223)," ",COUNTA($C$3:C223))</f>
        <v xml:space="preserve"> </v>
      </c>
      <c r="C223" s="186"/>
      <c r="D223" s="186"/>
      <c r="E223" s="133"/>
    </row>
    <row r="224" spans="2:5" ht="20.100000000000001" customHeight="1" x14ac:dyDescent="0.25">
      <c r="B224" s="142" t="str">
        <f>IF(ISBLANK(C224)," ",COUNTA($C$3:C224))</f>
        <v xml:space="preserve"> </v>
      </c>
      <c r="C224" s="186"/>
      <c r="D224" s="186"/>
      <c r="E224" s="134"/>
    </row>
    <row r="225" spans="2:5" ht="20.100000000000001" customHeight="1" x14ac:dyDescent="0.25">
      <c r="B225" s="142" t="str">
        <f>IF(ISBLANK(C225)," ",COUNTA($C$3:C225))</f>
        <v xml:space="preserve"> </v>
      </c>
      <c r="C225" s="186"/>
      <c r="D225" s="186"/>
      <c r="E225" s="133"/>
    </row>
    <row r="226" spans="2:5" ht="20.100000000000001" customHeight="1" x14ac:dyDescent="0.25">
      <c r="B226" s="142" t="str">
        <f>IF(ISBLANK(C226)," ",COUNTA($C$3:C226))</f>
        <v xml:space="preserve"> </v>
      </c>
      <c r="C226" s="186"/>
      <c r="D226" s="186"/>
      <c r="E226" s="134"/>
    </row>
    <row r="227" spans="2:5" ht="20.100000000000001" customHeight="1" x14ac:dyDescent="0.25">
      <c r="B227" s="142" t="str">
        <f>IF(ISBLANK(C227)," ",COUNTA($C$3:C227))</f>
        <v xml:space="preserve"> </v>
      </c>
      <c r="C227" s="186"/>
      <c r="D227" s="186"/>
      <c r="E227" s="133"/>
    </row>
    <row r="228" spans="2:5" ht="20.100000000000001" customHeight="1" x14ac:dyDescent="0.25">
      <c r="B228" s="142" t="str">
        <f>IF(ISBLANK(C228)," ",COUNTA($C$3:C228))</f>
        <v xml:space="preserve"> </v>
      </c>
      <c r="C228" s="186"/>
      <c r="D228" s="186"/>
      <c r="E228" s="134"/>
    </row>
    <row r="229" spans="2:5" ht="20.100000000000001" customHeight="1" x14ac:dyDescent="0.25">
      <c r="B229" s="142" t="str">
        <f>IF(ISBLANK(C229)," ",COUNTA($C$3:C229))</f>
        <v xml:space="preserve"> </v>
      </c>
      <c r="C229" s="186"/>
      <c r="D229" s="186"/>
      <c r="E229" s="133"/>
    </row>
    <row r="230" spans="2:5" ht="20.100000000000001" customHeight="1" x14ac:dyDescent="0.25">
      <c r="B230" s="142" t="str">
        <f>IF(ISBLANK(C230)," ",COUNTA($C$3:C230))</f>
        <v xml:space="preserve"> </v>
      </c>
      <c r="C230" s="186"/>
      <c r="D230" s="186"/>
      <c r="E230" s="134"/>
    </row>
    <row r="231" spans="2:5" ht="20.100000000000001" customHeight="1" x14ac:dyDescent="0.25">
      <c r="B231" s="142" t="str">
        <f>IF(ISBLANK(C231)," ",COUNTA($C$3:C231))</f>
        <v xml:space="preserve"> </v>
      </c>
      <c r="C231" s="186"/>
      <c r="D231" s="186"/>
      <c r="E231" s="133"/>
    </row>
    <row r="232" spans="2:5" ht="20.100000000000001" customHeight="1" x14ac:dyDescent="0.25">
      <c r="B232" s="142" t="str">
        <f>IF(ISBLANK(C232)," ",COUNTA($C$3:C232))</f>
        <v xml:space="preserve"> </v>
      </c>
      <c r="C232" s="186"/>
      <c r="D232" s="186"/>
      <c r="E232" s="134"/>
    </row>
    <row r="233" spans="2:5" ht="20.100000000000001" customHeight="1" x14ac:dyDescent="0.25">
      <c r="B233" s="142" t="str">
        <f>IF(ISBLANK(C233)," ",COUNTA($C$3:C233))</f>
        <v xml:space="preserve"> </v>
      </c>
      <c r="C233" s="186"/>
      <c r="D233" s="186"/>
      <c r="E233" s="133"/>
    </row>
    <row r="234" spans="2:5" ht="20.100000000000001" customHeight="1" x14ac:dyDescent="0.25">
      <c r="B234" s="142" t="str">
        <f>IF(ISBLANK(C234)," ",COUNTA($C$3:C234))</f>
        <v xml:space="preserve"> </v>
      </c>
      <c r="C234" s="186"/>
      <c r="D234" s="186"/>
      <c r="E234" s="134"/>
    </row>
    <row r="235" spans="2:5" ht="20.100000000000001" customHeight="1" x14ac:dyDescent="0.25">
      <c r="B235" s="142" t="str">
        <f>IF(ISBLANK(C235)," ",COUNTA($C$3:C235))</f>
        <v xml:space="preserve"> </v>
      </c>
      <c r="C235" s="186"/>
      <c r="D235" s="186"/>
      <c r="E235" s="133"/>
    </row>
    <row r="236" spans="2:5" ht="20.100000000000001" customHeight="1" x14ac:dyDescent="0.25">
      <c r="B236" s="142" t="str">
        <f>IF(ISBLANK(C236)," ",COUNTA($C$3:C236))</f>
        <v xml:space="preserve"> </v>
      </c>
      <c r="C236" s="186"/>
      <c r="D236" s="186"/>
      <c r="E236" s="134"/>
    </row>
    <row r="237" spans="2:5" ht="20.100000000000001" customHeight="1" x14ac:dyDescent="0.25">
      <c r="B237" s="142" t="str">
        <f>IF(ISBLANK(C237)," ",COUNTA($C$3:C237))</f>
        <v xml:space="preserve"> </v>
      </c>
      <c r="C237" s="186"/>
      <c r="D237" s="186"/>
      <c r="E237" s="133"/>
    </row>
    <row r="238" spans="2:5" ht="20.100000000000001" customHeight="1" x14ac:dyDescent="0.25">
      <c r="B238" s="142" t="str">
        <f>IF(ISBLANK(C238)," ",COUNTA($C$3:C238))</f>
        <v xml:space="preserve"> </v>
      </c>
      <c r="C238" s="186"/>
      <c r="D238" s="186"/>
      <c r="E238" s="134"/>
    </row>
    <row r="239" spans="2:5" ht="20.100000000000001" customHeight="1" x14ac:dyDescent="0.25">
      <c r="B239" s="142" t="str">
        <f>IF(ISBLANK(C239)," ",COUNTA($C$3:C239))</f>
        <v xml:space="preserve"> </v>
      </c>
      <c r="C239" s="186"/>
      <c r="D239" s="186"/>
      <c r="E239" s="133"/>
    </row>
    <row r="240" spans="2:5" ht="20.100000000000001" customHeight="1" x14ac:dyDescent="0.25">
      <c r="B240" s="142" t="str">
        <f>IF(ISBLANK(C240)," ",COUNTA($C$3:C240))</f>
        <v xml:space="preserve"> </v>
      </c>
      <c r="C240" s="186"/>
      <c r="D240" s="186"/>
      <c r="E240" s="134"/>
    </row>
    <row r="241" spans="2:5" ht="20.100000000000001" customHeight="1" x14ac:dyDescent="0.25">
      <c r="B241" s="142" t="str">
        <f>IF(ISBLANK(C241)," ",COUNTA($C$3:C241))</f>
        <v xml:space="preserve"> </v>
      </c>
      <c r="C241" s="186"/>
      <c r="D241" s="186"/>
      <c r="E241" s="133"/>
    </row>
    <row r="242" spans="2:5" ht="20.100000000000001" customHeight="1" x14ac:dyDescent="0.25">
      <c r="B242" s="142" t="str">
        <f>IF(ISBLANK(C242)," ",COUNTA($C$3:C242))</f>
        <v xml:space="preserve"> </v>
      </c>
      <c r="C242" s="186"/>
      <c r="D242" s="186"/>
      <c r="E242" s="134"/>
    </row>
    <row r="243" spans="2:5" ht="20.100000000000001" customHeight="1" x14ac:dyDescent="0.25">
      <c r="B243" s="142" t="str">
        <f>IF(ISBLANK(C243)," ",COUNTA($C$3:C243))</f>
        <v xml:space="preserve"> </v>
      </c>
      <c r="C243" s="186"/>
      <c r="D243" s="186"/>
      <c r="E243" s="133"/>
    </row>
    <row r="244" spans="2:5" ht="20.100000000000001" customHeight="1" x14ac:dyDescent="0.25">
      <c r="B244" s="142" t="str">
        <f>IF(ISBLANK(C244)," ",COUNTA($C$3:C244))</f>
        <v xml:space="preserve"> </v>
      </c>
      <c r="C244" s="186"/>
      <c r="D244" s="186"/>
      <c r="E244" s="134"/>
    </row>
    <row r="245" spans="2:5" ht="20.100000000000001" customHeight="1" x14ac:dyDescent="0.25">
      <c r="B245" s="142" t="str">
        <f>IF(ISBLANK(C245)," ",COUNTA($C$3:C245))</f>
        <v xml:space="preserve"> </v>
      </c>
      <c r="C245" s="186"/>
      <c r="D245" s="186"/>
      <c r="E245" s="133"/>
    </row>
    <row r="246" spans="2:5" ht="20.100000000000001" customHeight="1" x14ac:dyDescent="0.25">
      <c r="B246" s="142" t="str">
        <f>IF(ISBLANK(C246)," ",COUNTA($C$3:C246))</f>
        <v xml:space="preserve"> </v>
      </c>
      <c r="C246" s="186"/>
      <c r="D246" s="186"/>
      <c r="E246" s="134"/>
    </row>
    <row r="247" spans="2:5" ht="20.100000000000001" customHeight="1" x14ac:dyDescent="0.25">
      <c r="B247" s="142" t="str">
        <f>IF(ISBLANK(C247)," ",COUNTA($C$3:C247))</f>
        <v xml:space="preserve"> </v>
      </c>
      <c r="C247" s="186"/>
      <c r="D247" s="186"/>
      <c r="E247" s="133"/>
    </row>
    <row r="248" spans="2:5" ht="20.100000000000001" customHeight="1" x14ac:dyDescent="0.25">
      <c r="B248" s="142" t="str">
        <f>IF(ISBLANK(C248)," ",COUNTA($C$3:C248))</f>
        <v xml:space="preserve"> </v>
      </c>
      <c r="C248" s="186"/>
      <c r="D248" s="186"/>
      <c r="E248" s="134"/>
    </row>
    <row r="249" spans="2:5" ht="20.100000000000001" customHeight="1" x14ac:dyDescent="0.25">
      <c r="B249" s="142" t="str">
        <f>IF(ISBLANK(C249)," ",COUNTA($C$3:C249))</f>
        <v xml:space="preserve"> </v>
      </c>
      <c r="C249" s="186"/>
      <c r="D249" s="186"/>
      <c r="E249" s="133"/>
    </row>
    <row r="250" spans="2:5" ht="20.100000000000001" customHeight="1" x14ac:dyDescent="0.25">
      <c r="B250" s="142" t="str">
        <f>IF(ISBLANK(C250)," ",COUNTA($C$3:C250))</f>
        <v xml:space="preserve"> </v>
      </c>
      <c r="C250" s="186"/>
      <c r="D250" s="186"/>
      <c r="E250" s="134"/>
    </row>
    <row r="251" spans="2:5" ht="20.100000000000001" customHeight="1" x14ac:dyDescent="0.25">
      <c r="B251" s="142" t="str">
        <f>IF(ISBLANK(C251)," ",COUNTA($C$3:C251))</f>
        <v xml:space="preserve"> </v>
      </c>
      <c r="C251" s="186"/>
      <c r="D251" s="186"/>
      <c r="E251" s="133"/>
    </row>
    <row r="252" spans="2:5" ht="20.100000000000001" customHeight="1" x14ac:dyDescent="0.25">
      <c r="B252" s="142" t="str">
        <f>IF(ISBLANK(C252)," ",COUNTA($C$3:C252))</f>
        <v xml:space="preserve"> </v>
      </c>
      <c r="C252" s="186"/>
      <c r="D252" s="186"/>
      <c r="E252" s="134"/>
    </row>
    <row r="253" spans="2:5" ht="20.100000000000001" customHeight="1" x14ac:dyDescent="0.25">
      <c r="B253" s="181" t="str">
        <f>IF(ISBLANK(C253)," ",COUNTA($C$3:C253))</f>
        <v xml:space="preserve"> </v>
      </c>
      <c r="C253" s="186"/>
      <c r="D253" s="186"/>
      <c r="E253" s="182"/>
    </row>
    <row r="254" spans="2:5" ht="20.100000000000001" customHeight="1" x14ac:dyDescent="0.25">
      <c r="B254" s="184"/>
      <c r="C254" s="10"/>
      <c r="D254" s="10"/>
      <c r="E254" s="185"/>
    </row>
    <row r="255" spans="2:5" ht="20.100000000000001" customHeight="1" x14ac:dyDescent="0.25">
      <c r="B255" s="183"/>
      <c r="C255" s="10"/>
      <c r="D255" s="10"/>
      <c r="E255" s="103"/>
    </row>
    <row r="256" spans="2:5" ht="20.100000000000001" customHeight="1" x14ac:dyDescent="0.25">
      <c r="B256" s="183"/>
      <c r="C256" s="10"/>
      <c r="D256" s="10"/>
      <c r="E256" s="103"/>
    </row>
    <row r="257" spans="2:5" ht="20.100000000000001" customHeight="1" x14ac:dyDescent="0.25">
      <c r="B257" s="183"/>
      <c r="C257" s="10"/>
      <c r="D257" s="10"/>
      <c r="E257" s="103"/>
    </row>
    <row r="258" spans="2:5" x14ac:dyDescent="0.25">
      <c r="C258" s="10"/>
      <c r="D258" s="10"/>
    </row>
    <row r="259" spans="2:5" x14ac:dyDescent="0.25">
      <c r="C259" s="10"/>
      <c r="D259" s="10"/>
    </row>
  </sheetData>
  <sheetProtection selectLockedCells="1"/>
  <mergeCells count="3">
    <mergeCell ref="F2:P2"/>
    <mergeCell ref="H9:M10"/>
    <mergeCell ref="G18:P38"/>
  </mergeCells>
  <conditionalFormatting sqref="Q8">
    <cfRule type="containsText" dxfId="209" priority="5" operator="containsText" text="CLOSED">
      <formula>NOT(ISERROR(SEARCH("CLOSED",Q8)))</formula>
    </cfRule>
    <cfRule type="containsText" dxfId="208" priority="6" operator="containsText" text="OPEN">
      <formula>NOT(ISERROR(SEARCH("OPEN",Q8)))</formula>
    </cfRule>
  </conditionalFormatting>
  <conditionalFormatting sqref="D3:D259">
    <cfRule type="containsText" dxfId="207" priority="1" operator="containsText" text="Open">
      <formula>NOT(ISERROR(SEARCH("Open",D3)))</formula>
    </cfRule>
    <cfRule type="containsText" dxfId="206" priority="2" operator="containsText" text="CLOSED">
      <formula>NOT(ISERROR(SEARCH("CLOSED",D3)))</formula>
    </cfRule>
  </conditionalFormatting>
  <dataValidations count="2">
    <dataValidation type="list" allowBlank="1" showInputMessage="1" showErrorMessage="1" sqref="D3:D259" xr:uid="{00000000-0002-0000-0000-000000000000}">
      <formula1>$K$5:$K$6</formula1>
    </dataValidation>
    <dataValidation type="list" allowBlank="1" showInputMessage="1" showErrorMessage="1" sqref="E3:E257" xr:uid="{00000000-0002-0000-0000-000001000000}">
      <formula1>$K$3:$K$4</formula1>
    </dataValidation>
  </dataValidations>
  <printOptions horizontalCentered="1"/>
  <pageMargins left="0.2" right="0" top="0.75" bottom="0.75" header="0.3" footer="0.3"/>
  <pageSetup fitToHeight="0"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46DA5F"/>
  </sheetPr>
  <dimension ref="A1:Q34"/>
  <sheetViews>
    <sheetView showGridLines="0" showZeros="0" workbookViewId="0">
      <selection activeCell="K6" sqref="K6"/>
    </sheetView>
  </sheetViews>
  <sheetFormatPr defaultRowHeight="15" x14ac:dyDescent="0.25"/>
  <cols>
    <col min="1" max="1" width="10.42578125" bestFit="1" customWidth="1"/>
    <col min="2" max="2" width="22.7109375" customWidth="1"/>
    <col min="3" max="3" width="13.5703125" customWidth="1"/>
    <col min="4" max="4" width="12.140625" bestFit="1" customWidth="1"/>
    <col min="5" max="5" width="19.7109375" customWidth="1"/>
    <col min="6" max="6" width="11.140625" bestFit="1" customWidth="1"/>
  </cols>
  <sheetData>
    <row r="1" spans="1:17" ht="15" customHeight="1" x14ac:dyDescent="0.4">
      <c r="A1" s="202" t="s">
        <v>49</v>
      </c>
      <c r="B1" s="203"/>
      <c r="C1" s="206"/>
      <c r="D1" s="207"/>
      <c r="E1" s="208"/>
      <c r="F1" s="51"/>
    </row>
    <row r="2" spans="1:17" ht="15.75" customHeight="1" thickBot="1" x14ac:dyDescent="0.45">
      <c r="A2" s="204"/>
      <c r="B2" s="205"/>
      <c r="C2" s="209"/>
      <c r="D2" s="210"/>
      <c r="E2" s="211"/>
      <c r="F2" s="51"/>
    </row>
    <row r="3" spans="1:17" ht="29.25" customHeight="1" thickBot="1" x14ac:dyDescent="0.4">
      <c r="A3" s="204" t="s">
        <v>60</v>
      </c>
      <c r="B3" s="205"/>
      <c r="C3" s="212">
        <f>'Eid List Entry'!H7</f>
        <v>0</v>
      </c>
      <c r="D3" s="213"/>
      <c r="E3" s="214"/>
      <c r="F3" s="32"/>
    </row>
    <row r="4" spans="1:17" ht="60.75" customHeight="1" thickBot="1" x14ac:dyDescent="0.3">
      <c r="A4" s="46" t="s">
        <v>57</v>
      </c>
      <c r="B4" s="46" t="s">
        <v>53</v>
      </c>
      <c r="C4" s="166" t="s">
        <v>86</v>
      </c>
      <c r="D4" s="46" t="s">
        <v>58</v>
      </c>
      <c r="E4" s="46" t="s">
        <v>59</v>
      </c>
      <c r="F4" s="31"/>
    </row>
    <row r="5" spans="1:17" x14ac:dyDescent="0.25">
      <c r="A5" s="106" t="str">
        <f>IF(ISBLANK(B5)," ",COUNTA($B$5:B5))</f>
        <v xml:space="preserve"> </v>
      </c>
      <c r="B5" s="120"/>
      <c r="C5" s="120"/>
      <c r="D5" s="107"/>
      <c r="E5" s="107"/>
    </row>
    <row r="6" spans="1:17" x14ac:dyDescent="0.25">
      <c r="A6" s="106" t="str">
        <f>IF(ISBLANK(B6)," ",COUNTA($B$5:B6))</f>
        <v xml:space="preserve"> </v>
      </c>
      <c r="B6" s="120"/>
      <c r="C6" s="120"/>
      <c r="D6" s="107"/>
      <c r="E6" s="107"/>
      <c r="F6" s="50"/>
    </row>
    <row r="7" spans="1:17" x14ac:dyDescent="0.25">
      <c r="A7" s="106" t="str">
        <f>IF(ISBLANK(B7)," ",COUNTA($B$5:B7))</f>
        <v xml:space="preserve"> </v>
      </c>
      <c r="B7" s="120"/>
      <c r="C7" s="120"/>
      <c r="D7" s="108"/>
      <c r="E7" s="108"/>
      <c r="F7" s="50"/>
    </row>
    <row r="8" spans="1:17" x14ac:dyDescent="0.25">
      <c r="A8" s="106" t="str">
        <f>IF(ISBLANK(B8)," ",COUNTA($B$5:B8))</f>
        <v xml:space="preserve"> </v>
      </c>
      <c r="B8" s="120"/>
      <c r="C8" s="120"/>
      <c r="D8" s="108"/>
      <c r="E8" s="108"/>
      <c r="F8" s="50"/>
    </row>
    <row r="9" spans="1:17" x14ac:dyDescent="0.25">
      <c r="A9" s="106" t="str">
        <f>IF(ISBLANK(B9)," ",COUNTA($B$5:B9))</f>
        <v xml:space="preserve"> </v>
      </c>
      <c r="B9" s="120"/>
      <c r="C9" s="120"/>
      <c r="D9" s="165"/>
      <c r="E9" s="108"/>
      <c r="F9" s="50"/>
      <c r="G9" s="7"/>
      <c r="H9" s="7"/>
      <c r="I9" s="7"/>
      <c r="J9" s="7"/>
      <c r="K9" s="7"/>
      <c r="L9" s="7"/>
      <c r="M9" s="7"/>
      <c r="N9" s="7"/>
      <c r="O9" s="7"/>
      <c r="P9" s="7"/>
      <c r="Q9" s="7"/>
    </row>
    <row r="10" spans="1:17" ht="15" customHeight="1" x14ac:dyDescent="0.25">
      <c r="A10" s="106" t="str">
        <f>IF(ISBLANK(B10)," ",COUNTA($B$5:B10))</f>
        <v xml:space="preserve"> </v>
      </c>
      <c r="B10" s="120"/>
      <c r="C10" s="120"/>
      <c r="D10" s="108"/>
      <c r="E10" s="108"/>
      <c r="F10" s="50"/>
      <c r="G10" s="7"/>
      <c r="H10" s="179"/>
      <c r="I10" s="179"/>
      <c r="J10" s="179"/>
      <c r="K10" s="179"/>
      <c r="L10" s="179"/>
      <c r="M10" s="179"/>
      <c r="N10" s="179"/>
      <c r="O10" s="179"/>
      <c r="P10" s="179"/>
      <c r="Q10" s="7"/>
    </row>
    <row r="11" spans="1:17" ht="15.75" thickBot="1" x14ac:dyDescent="0.3">
      <c r="A11" s="106" t="str">
        <f>IF(ISBLANK(B11)," ",COUNTA($B$5:B11))</f>
        <v xml:space="preserve"> </v>
      </c>
      <c r="B11" s="120"/>
      <c r="C11" s="120"/>
      <c r="D11" s="108"/>
      <c r="E11" s="108"/>
      <c r="F11" s="50"/>
      <c r="G11" s="179"/>
      <c r="H11" s="179"/>
      <c r="I11" s="179"/>
      <c r="J11" s="179"/>
      <c r="K11" s="179"/>
      <c r="L11" s="179"/>
      <c r="M11" s="179"/>
      <c r="N11" s="179"/>
      <c r="O11" s="179"/>
      <c r="P11" s="179"/>
      <c r="Q11" s="7"/>
    </row>
    <row r="12" spans="1:17" ht="18.75" customHeight="1" x14ac:dyDescent="0.25">
      <c r="A12" s="106" t="str">
        <f>IF(ISBLANK(B12)," ",COUNTA($B$5:B12))</f>
        <v xml:space="preserve"> </v>
      </c>
      <c r="B12" s="120"/>
      <c r="C12" s="120"/>
      <c r="D12" s="108"/>
      <c r="E12" s="108"/>
      <c r="F12" s="50"/>
      <c r="G12" s="193" t="s">
        <v>88</v>
      </c>
      <c r="H12" s="194"/>
      <c r="I12" s="194"/>
      <c r="J12" s="194"/>
      <c r="K12" s="194"/>
      <c r="L12" s="194"/>
      <c r="M12" s="194"/>
      <c r="N12" s="194"/>
      <c r="O12" s="195"/>
      <c r="P12" s="179"/>
    </row>
    <row r="13" spans="1:17" x14ac:dyDescent="0.25">
      <c r="A13" s="106" t="str">
        <f>IF(ISBLANK(B13)," ",COUNTA($B$5:B13))</f>
        <v xml:space="preserve"> </v>
      </c>
      <c r="B13" s="120"/>
      <c r="C13" s="120"/>
      <c r="D13" s="108"/>
      <c r="E13" s="108"/>
      <c r="F13" s="50"/>
      <c r="G13" s="196"/>
      <c r="H13" s="197"/>
      <c r="I13" s="197"/>
      <c r="J13" s="197"/>
      <c r="K13" s="197"/>
      <c r="L13" s="197"/>
      <c r="M13" s="197"/>
      <c r="N13" s="197"/>
      <c r="O13" s="198"/>
      <c r="P13" s="179"/>
    </row>
    <row r="14" spans="1:17" x14ac:dyDescent="0.25">
      <c r="A14" s="106" t="str">
        <f>IF(ISBLANK(B14)," ",COUNTA($B$5:B14))</f>
        <v xml:space="preserve"> </v>
      </c>
      <c r="B14" s="120"/>
      <c r="C14" s="120"/>
      <c r="D14" s="108"/>
      <c r="E14" s="108"/>
      <c r="F14" s="50"/>
      <c r="G14" s="196"/>
      <c r="H14" s="197"/>
      <c r="I14" s="197"/>
      <c r="J14" s="197"/>
      <c r="K14" s="197"/>
      <c r="L14" s="197"/>
      <c r="M14" s="197"/>
      <c r="N14" s="197"/>
      <c r="O14" s="198"/>
      <c r="P14" s="179"/>
    </row>
    <row r="15" spans="1:17" x14ac:dyDescent="0.25">
      <c r="A15" s="106" t="str">
        <f>IF(ISBLANK(B15)," ",COUNTA($B$5:B15))</f>
        <v xml:space="preserve"> </v>
      </c>
      <c r="B15" s="120"/>
      <c r="C15" s="120"/>
      <c r="D15" s="108"/>
      <c r="E15" s="108"/>
      <c r="F15" s="50"/>
      <c r="G15" s="196"/>
      <c r="H15" s="197"/>
      <c r="I15" s="197"/>
      <c r="J15" s="197"/>
      <c r="K15" s="197"/>
      <c r="L15" s="197"/>
      <c r="M15" s="197"/>
      <c r="N15" s="197"/>
      <c r="O15" s="198"/>
      <c r="P15" s="179"/>
    </row>
    <row r="16" spans="1:17" x14ac:dyDescent="0.25">
      <c r="A16" s="106" t="str">
        <f>IF(ISBLANK(B16)," ",COUNTA($B$5:B16))</f>
        <v xml:space="preserve"> </v>
      </c>
      <c r="B16" s="120"/>
      <c r="C16" s="120"/>
      <c r="D16" s="108"/>
      <c r="E16" s="108"/>
      <c r="F16" s="50"/>
      <c r="G16" s="196"/>
      <c r="H16" s="197"/>
      <c r="I16" s="197"/>
      <c r="J16" s="197"/>
      <c r="K16" s="197"/>
      <c r="L16" s="197"/>
      <c r="M16" s="197"/>
      <c r="N16" s="197"/>
      <c r="O16" s="198"/>
      <c r="P16" s="179"/>
    </row>
    <row r="17" spans="1:16" x14ac:dyDescent="0.25">
      <c r="A17" s="106" t="str">
        <f>IF(ISBLANK(B17)," ",COUNTA($B$5:B17))</f>
        <v xml:space="preserve"> </v>
      </c>
      <c r="B17" s="120"/>
      <c r="C17" s="120"/>
      <c r="D17" s="108"/>
      <c r="E17" s="108"/>
      <c r="F17" s="50"/>
      <c r="G17" s="196"/>
      <c r="H17" s="197"/>
      <c r="I17" s="197"/>
      <c r="J17" s="197"/>
      <c r="K17" s="197"/>
      <c r="L17" s="197"/>
      <c r="M17" s="197"/>
      <c r="N17" s="197"/>
      <c r="O17" s="198"/>
      <c r="P17" s="179"/>
    </row>
    <row r="18" spans="1:16" x14ac:dyDescent="0.25">
      <c r="A18" s="106" t="str">
        <f>IF(ISBLANK(B18)," ",COUNTA($B$5:B18))</f>
        <v xml:space="preserve"> </v>
      </c>
      <c r="B18" s="120"/>
      <c r="C18" s="120"/>
      <c r="D18" s="108"/>
      <c r="E18" s="108"/>
      <c r="F18" s="50"/>
      <c r="G18" s="196"/>
      <c r="H18" s="197"/>
      <c r="I18" s="197"/>
      <c r="J18" s="197"/>
      <c r="K18" s="197"/>
      <c r="L18" s="197"/>
      <c r="M18" s="197"/>
      <c r="N18" s="197"/>
      <c r="O18" s="198"/>
      <c r="P18" s="179"/>
    </row>
    <row r="19" spans="1:16" x14ac:dyDescent="0.25">
      <c r="A19" s="106" t="str">
        <f>IF(ISBLANK(B19)," ",COUNTA($B$5:B19))</f>
        <v xml:space="preserve"> </v>
      </c>
      <c r="B19" s="120"/>
      <c r="C19" s="120"/>
      <c r="D19" s="108"/>
      <c r="E19" s="108"/>
      <c r="F19" s="50"/>
      <c r="G19" s="196"/>
      <c r="H19" s="197"/>
      <c r="I19" s="197"/>
      <c r="J19" s="197"/>
      <c r="K19" s="197"/>
      <c r="L19" s="197"/>
      <c r="M19" s="197"/>
      <c r="N19" s="197"/>
      <c r="O19" s="198"/>
      <c r="P19" s="179"/>
    </row>
    <row r="20" spans="1:16" x14ac:dyDescent="0.25">
      <c r="A20" s="106" t="str">
        <f>IF(ISBLANK(B20)," ",COUNTA($B$5:B20))</f>
        <v xml:space="preserve"> </v>
      </c>
      <c r="B20" s="120"/>
      <c r="C20" s="120"/>
      <c r="D20" s="108"/>
      <c r="E20" s="108"/>
      <c r="F20" s="50"/>
      <c r="G20" s="196"/>
      <c r="H20" s="197"/>
      <c r="I20" s="197"/>
      <c r="J20" s="197"/>
      <c r="K20" s="197"/>
      <c r="L20" s="197"/>
      <c r="M20" s="197"/>
      <c r="N20" s="197"/>
      <c r="O20" s="198"/>
      <c r="P20" s="179"/>
    </row>
    <row r="21" spans="1:16" x14ac:dyDescent="0.25">
      <c r="A21" s="106" t="str">
        <f>IF(ISBLANK(B21)," ",COUNTA($B$5:B21))</f>
        <v xml:space="preserve"> </v>
      </c>
      <c r="B21" s="120"/>
      <c r="C21" s="120"/>
      <c r="D21" s="108"/>
      <c r="E21" s="108"/>
      <c r="F21" s="50"/>
      <c r="G21" s="196"/>
      <c r="H21" s="197"/>
      <c r="I21" s="197"/>
      <c r="J21" s="197"/>
      <c r="K21" s="197"/>
      <c r="L21" s="197"/>
      <c r="M21" s="197"/>
      <c r="N21" s="197"/>
      <c r="O21" s="198"/>
      <c r="P21" s="179"/>
    </row>
    <row r="22" spans="1:16" x14ac:dyDescent="0.25">
      <c r="A22" s="106" t="str">
        <f>IF(ISBLANK(B22)," ",COUNTA($B$5:B22))</f>
        <v xml:space="preserve"> </v>
      </c>
      <c r="B22" s="120"/>
      <c r="C22" s="120"/>
      <c r="D22" s="108"/>
      <c r="E22" s="108"/>
      <c r="F22" s="50"/>
      <c r="G22" s="196"/>
      <c r="H22" s="197"/>
      <c r="I22" s="197"/>
      <c r="J22" s="197"/>
      <c r="K22" s="197"/>
      <c r="L22" s="197"/>
      <c r="M22" s="197"/>
      <c r="N22" s="197"/>
      <c r="O22" s="198"/>
      <c r="P22" s="179"/>
    </row>
    <row r="23" spans="1:16" x14ac:dyDescent="0.25">
      <c r="A23" s="106" t="str">
        <f>IF(ISBLANK(B23)," ",COUNTA($B$5:B23))</f>
        <v xml:space="preserve"> </v>
      </c>
      <c r="B23" s="120"/>
      <c r="C23" s="120"/>
      <c r="D23" s="108"/>
      <c r="E23" s="108"/>
      <c r="F23" s="50"/>
      <c r="G23" s="196"/>
      <c r="H23" s="197"/>
      <c r="I23" s="197"/>
      <c r="J23" s="197"/>
      <c r="K23" s="197"/>
      <c r="L23" s="197"/>
      <c r="M23" s="197"/>
      <c r="N23" s="197"/>
      <c r="O23" s="198"/>
      <c r="P23" s="179"/>
    </row>
    <row r="24" spans="1:16" x14ac:dyDescent="0.25">
      <c r="A24" s="106" t="str">
        <f>IF(ISBLANK(B24)," ",COUNTA($B$5:B24))</f>
        <v xml:space="preserve"> </v>
      </c>
      <c r="B24" s="120"/>
      <c r="C24" s="120"/>
      <c r="D24" s="108"/>
      <c r="E24" s="108"/>
      <c r="F24" s="50"/>
      <c r="G24" s="196"/>
      <c r="H24" s="197"/>
      <c r="I24" s="197"/>
      <c r="J24" s="197"/>
      <c r="K24" s="197"/>
      <c r="L24" s="197"/>
      <c r="M24" s="197"/>
      <c r="N24" s="197"/>
      <c r="O24" s="198"/>
      <c r="P24" s="179"/>
    </row>
    <row r="25" spans="1:16" x14ac:dyDescent="0.25">
      <c r="A25" s="106" t="str">
        <f>IF(ISBLANK(B25)," ",COUNTA($B$5:B25))</f>
        <v xml:space="preserve"> </v>
      </c>
      <c r="B25" s="120"/>
      <c r="C25" s="120"/>
      <c r="D25" s="108"/>
      <c r="E25" s="108"/>
      <c r="F25" s="50"/>
      <c r="G25" s="196"/>
      <c r="H25" s="197"/>
      <c r="I25" s="197"/>
      <c r="J25" s="197"/>
      <c r="K25" s="197"/>
      <c r="L25" s="197"/>
      <c r="M25" s="197"/>
      <c r="N25" s="197"/>
      <c r="O25" s="198"/>
      <c r="P25" s="179"/>
    </row>
    <row r="26" spans="1:16" ht="15.75" thickBot="1" x14ac:dyDescent="0.3">
      <c r="A26" s="106" t="str">
        <f>IF(ISBLANK(B26)," ",COUNTA($B$5:B26))</f>
        <v xml:space="preserve"> </v>
      </c>
      <c r="B26" s="120"/>
      <c r="C26" s="120"/>
      <c r="D26" s="108"/>
      <c r="E26" s="108"/>
      <c r="F26" s="50"/>
      <c r="G26" s="199"/>
      <c r="H26" s="200"/>
      <c r="I26" s="200"/>
      <c r="J26" s="200"/>
      <c r="K26" s="200"/>
      <c r="L26" s="200"/>
      <c r="M26" s="200"/>
      <c r="N26" s="200"/>
      <c r="O26" s="201"/>
      <c r="P26" s="179"/>
    </row>
    <row r="27" spans="1:16" x14ac:dyDescent="0.25">
      <c r="A27" s="106" t="str">
        <f>IF(ISBLANK(B27)," ",COUNTA($B$5:B27))</f>
        <v xml:space="preserve"> </v>
      </c>
      <c r="B27" s="120"/>
      <c r="C27" s="120"/>
      <c r="D27" s="108"/>
      <c r="E27" s="108"/>
      <c r="F27" s="50"/>
      <c r="G27" s="179"/>
      <c r="H27" s="179"/>
      <c r="I27" s="179"/>
      <c r="J27" s="179"/>
      <c r="K27" s="179"/>
      <c r="L27" s="179"/>
      <c r="M27" s="179"/>
      <c r="N27" s="179"/>
      <c r="O27" s="179"/>
      <c r="P27" s="179"/>
    </row>
    <row r="28" spans="1:16" x14ac:dyDescent="0.25">
      <c r="A28" s="106" t="str">
        <f>IF(ISBLANK(B28)," ",COUNTA($B$5:B28))</f>
        <v xml:space="preserve"> </v>
      </c>
      <c r="B28" s="120"/>
      <c r="C28" s="120"/>
      <c r="D28" s="108"/>
      <c r="E28" s="108"/>
      <c r="F28" s="50"/>
      <c r="G28" s="179"/>
      <c r="H28" s="179"/>
      <c r="I28" s="179"/>
      <c r="J28" s="179"/>
      <c r="K28" s="179"/>
      <c r="L28" s="179"/>
      <c r="M28" s="179"/>
      <c r="N28" s="179"/>
      <c r="O28" s="179"/>
      <c r="P28" s="179"/>
    </row>
    <row r="29" spans="1:16" x14ac:dyDescent="0.25">
      <c r="A29" s="106" t="str">
        <f>IF(ISBLANK(B29)," ",COUNTA($B$5:B29))</f>
        <v xml:space="preserve"> </v>
      </c>
      <c r="B29" s="120"/>
      <c r="C29" s="120"/>
      <c r="D29" s="108"/>
      <c r="E29" s="108"/>
      <c r="F29" s="50"/>
      <c r="G29" s="179"/>
      <c r="H29" s="179"/>
      <c r="I29" s="179"/>
      <c r="J29" s="179"/>
      <c r="K29" s="179"/>
      <c r="L29" s="179"/>
      <c r="M29" s="179"/>
      <c r="N29" s="179"/>
      <c r="O29" s="179"/>
      <c r="P29" s="179"/>
    </row>
    <row r="30" spans="1:16" x14ac:dyDescent="0.25">
      <c r="A30" s="106" t="str">
        <f>IF(ISBLANK(B30)," ",COUNTA($B$5:B30))</f>
        <v xml:space="preserve"> </v>
      </c>
      <c r="B30" s="120"/>
      <c r="C30" s="120"/>
      <c r="D30" s="108"/>
      <c r="E30" s="108"/>
      <c r="F30" s="50"/>
      <c r="G30" s="179"/>
      <c r="H30" s="179"/>
      <c r="I30" s="179"/>
      <c r="J30" s="179"/>
      <c r="K30" s="179"/>
      <c r="L30" s="179"/>
      <c r="M30" s="179"/>
      <c r="N30" s="179"/>
      <c r="O30" s="179"/>
      <c r="P30" s="179"/>
    </row>
    <row r="31" spans="1:16" x14ac:dyDescent="0.25">
      <c r="A31" s="106" t="str">
        <f>IF(ISBLANK(B31)," ",COUNTA($B$5:B31))</f>
        <v xml:space="preserve"> </v>
      </c>
      <c r="B31" s="120"/>
      <c r="C31" s="120"/>
      <c r="D31" s="108"/>
      <c r="E31" s="108"/>
      <c r="F31" s="50"/>
      <c r="G31" s="179"/>
      <c r="H31" s="179"/>
      <c r="I31" s="179"/>
      <c r="J31" s="179"/>
      <c r="K31" s="179"/>
      <c r="L31" s="179"/>
      <c r="M31" s="179"/>
      <c r="N31" s="179"/>
      <c r="O31" s="179"/>
      <c r="P31" s="179"/>
    </row>
    <row r="32" spans="1:16" x14ac:dyDescent="0.25">
      <c r="A32" s="106" t="str">
        <f>IF(ISBLANK(B32)," ",COUNTA($B$5:B32))</f>
        <v xml:space="preserve"> </v>
      </c>
      <c r="B32" s="120"/>
      <c r="C32" s="120"/>
      <c r="D32" s="109"/>
      <c r="E32" s="109"/>
      <c r="F32" s="29"/>
      <c r="G32" s="179"/>
      <c r="H32" s="179"/>
      <c r="I32" s="179"/>
      <c r="J32" s="179"/>
      <c r="K32" s="179"/>
      <c r="L32" s="179"/>
      <c r="M32" s="179"/>
      <c r="N32" s="179"/>
      <c r="O32" s="179"/>
      <c r="P32" s="179"/>
    </row>
    <row r="33" spans="1:16" x14ac:dyDescent="0.25">
      <c r="A33" s="106" t="str">
        <f>IF(ISBLANK(B33)," ",COUNTA($B$5:B33))</f>
        <v xml:space="preserve"> </v>
      </c>
      <c r="B33" s="120"/>
      <c r="C33" s="120"/>
      <c r="D33" s="109"/>
      <c r="E33" s="109"/>
      <c r="F33" s="29"/>
      <c r="G33" s="179"/>
      <c r="H33" s="179"/>
      <c r="I33" s="179"/>
      <c r="J33" s="179"/>
      <c r="K33" s="179"/>
      <c r="L33" s="179"/>
      <c r="M33" s="179"/>
      <c r="N33" s="179"/>
      <c r="O33" s="179"/>
      <c r="P33" s="179"/>
    </row>
    <row r="34" spans="1:16" x14ac:dyDescent="0.25">
      <c r="A34" s="106" t="str">
        <f>IF(ISBLANK(B34)," ",COUNTA($B$5:B34))</f>
        <v xml:space="preserve"> </v>
      </c>
      <c r="B34" s="120"/>
      <c r="C34" s="120"/>
      <c r="D34" s="109"/>
      <c r="E34" s="109"/>
      <c r="F34" s="50"/>
    </row>
  </sheetData>
  <mergeCells count="5">
    <mergeCell ref="G12:O26"/>
    <mergeCell ref="A1:B2"/>
    <mergeCell ref="A3:B3"/>
    <mergeCell ref="C1:E2"/>
    <mergeCell ref="C3:E3"/>
  </mergeCells>
  <dataValidations count="1">
    <dataValidation type="list" allowBlank="1" showInputMessage="1" showErrorMessage="1" sqref="C5:C21" xr:uid="{ABE497E8-CB5C-440E-BA34-33041014A43C}">
      <formula1>"Yes, No"</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0000000}">
          <x14:formula1>
            <xm:f>'\\cbuser1\welscfm$\Desktop\[Blank 1795 Blind List.xlsx]Filter'!#REF!</xm:f>
          </x14:formula1>
          <xm:sqref>F6:F31 F34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FF0000"/>
  </sheetPr>
  <dimension ref="A1:AO965"/>
  <sheetViews>
    <sheetView showZeros="0" topLeftCell="B1" zoomScale="115" zoomScaleNormal="115" workbookViewId="0">
      <selection activeCell="L3" sqref="L3:Y3"/>
    </sheetView>
  </sheetViews>
  <sheetFormatPr defaultRowHeight="15" x14ac:dyDescent="0.25"/>
  <cols>
    <col min="1" max="1" width="10" hidden="1" customWidth="1"/>
    <col min="2" max="2" width="9" customWidth="1"/>
    <col min="3" max="24" width="3" customWidth="1"/>
    <col min="25" max="25" width="3.42578125" customWidth="1"/>
    <col min="26" max="26" width="8.7109375" customWidth="1"/>
    <col min="27" max="27" width="8.28515625" customWidth="1"/>
    <col min="28" max="28" width="8.140625" customWidth="1"/>
    <col min="29" max="30" width="5" customWidth="1"/>
    <col min="31" max="32" width="10" customWidth="1"/>
    <col min="35" max="35" width="12" bestFit="1" customWidth="1"/>
  </cols>
  <sheetData>
    <row r="1" spans="2:39" ht="81.75" customHeight="1" x14ac:dyDescent="0.25"/>
    <row r="2" spans="2:39" ht="18" customHeight="1" x14ac:dyDescent="0.25">
      <c r="B2" s="160" t="s">
        <v>0</v>
      </c>
      <c r="C2" s="249" t="s">
        <v>9</v>
      </c>
      <c r="D2" s="250"/>
      <c r="E2" s="251">
        <f>'Eid List Entry'!H4</f>
        <v>1594</v>
      </c>
      <c r="F2" s="252"/>
      <c r="G2" s="252"/>
      <c r="H2" s="252"/>
      <c r="I2" s="252"/>
      <c r="J2" s="252"/>
      <c r="K2" s="252"/>
      <c r="L2" s="252"/>
      <c r="M2" s="252"/>
      <c r="N2" s="252"/>
      <c r="O2" s="252"/>
      <c r="P2" s="252"/>
      <c r="Q2" s="252"/>
      <c r="R2" s="252"/>
      <c r="S2" s="252"/>
      <c r="T2" s="252"/>
      <c r="U2" s="252"/>
      <c r="V2" s="252"/>
      <c r="W2" s="252"/>
      <c r="X2" s="252"/>
      <c r="Y2" s="252"/>
      <c r="Z2" s="253" t="s">
        <v>10</v>
      </c>
      <c r="AA2" s="254"/>
      <c r="AB2" s="259" t="s">
        <v>11</v>
      </c>
      <c r="AC2" s="260"/>
      <c r="AD2" s="261"/>
      <c r="AE2" s="268" t="s">
        <v>12</v>
      </c>
      <c r="AF2" s="269"/>
      <c r="AH2" s="7"/>
      <c r="AI2" s="102"/>
      <c r="AL2" s="22"/>
    </row>
    <row r="3" spans="2:39" ht="18" customHeight="1" x14ac:dyDescent="0.25">
      <c r="B3" s="161">
        <f ca="1">'Eid List Entry'!H3</f>
        <v>44621</v>
      </c>
      <c r="C3" s="274" t="s">
        <v>85</v>
      </c>
      <c r="D3" s="274"/>
      <c r="E3" s="274"/>
      <c r="F3" s="274"/>
      <c r="G3" s="274"/>
      <c r="H3" s="274"/>
      <c r="I3" s="274"/>
      <c r="J3" s="274"/>
      <c r="K3" s="274"/>
      <c r="L3" s="275">
        <f>'Eid List Entry'!H7</f>
        <v>0</v>
      </c>
      <c r="M3" s="275"/>
      <c r="N3" s="275"/>
      <c r="O3" s="275"/>
      <c r="P3" s="275"/>
      <c r="Q3" s="275"/>
      <c r="R3" s="275"/>
      <c r="S3" s="275"/>
      <c r="T3" s="275"/>
      <c r="U3" s="275"/>
      <c r="V3" s="275"/>
      <c r="W3" s="275"/>
      <c r="X3" s="275"/>
      <c r="Y3" s="275"/>
      <c r="Z3" s="255"/>
      <c r="AA3" s="256"/>
      <c r="AB3" s="262"/>
      <c r="AC3" s="263"/>
      <c r="AD3" s="264"/>
      <c r="AE3" s="270"/>
      <c r="AF3" s="271"/>
      <c r="AH3" s="294" t="s">
        <v>74</v>
      </c>
      <c r="AI3" s="295"/>
      <c r="AJ3" s="295"/>
      <c r="AK3" s="295"/>
      <c r="AL3" s="295"/>
      <c r="AM3" s="295"/>
    </row>
    <row r="4" spans="2:39" ht="18" customHeight="1" x14ac:dyDescent="0.25">
      <c r="B4" s="159" t="s">
        <v>14</v>
      </c>
      <c r="C4" s="276" t="s">
        <v>15</v>
      </c>
      <c r="D4" s="277"/>
      <c r="E4" s="277"/>
      <c r="F4" s="319">
        <f>'Eid List Entry'!H8</f>
        <v>0</v>
      </c>
      <c r="G4" s="319"/>
      <c r="H4" s="319"/>
      <c r="I4" s="319"/>
      <c r="J4" s="319"/>
      <c r="K4" s="319"/>
      <c r="L4" s="319"/>
      <c r="M4" s="319"/>
      <c r="N4" s="319"/>
      <c r="O4" s="319"/>
      <c r="P4" s="319"/>
      <c r="Q4" s="319"/>
      <c r="R4" s="319"/>
      <c r="S4" s="319"/>
      <c r="T4" s="319"/>
      <c r="U4" s="319"/>
      <c r="V4" s="319"/>
      <c r="W4" s="319"/>
      <c r="X4" s="319"/>
      <c r="Y4" s="320"/>
      <c r="Z4" s="257"/>
      <c r="AA4" s="258"/>
      <c r="AB4" s="265"/>
      <c r="AC4" s="266"/>
      <c r="AD4" s="267"/>
      <c r="AE4" s="272"/>
      <c r="AF4" s="273"/>
      <c r="AH4" s="295"/>
      <c r="AI4" s="295"/>
      <c r="AJ4" s="295"/>
      <c r="AK4" s="295"/>
      <c r="AL4" s="295"/>
      <c r="AM4" s="295"/>
    </row>
    <row r="5" spans="2:39" ht="18.75" customHeight="1" x14ac:dyDescent="0.25">
      <c r="B5" s="321" t="str">
        <f>_xlfn.CONCAT("1"," ","of"," ",IF(ISBLANK('Eid List Entry'!C14),1,
IF(ISBLANK('Eid List Entry'!C34),2,
IF(ISBLANK('Eid List Entry'!C54),3,
IF(ISBLANK('Eid List Entry'!C74),4,
IF(ISBLANK('Eid List Entry'!C94),5,
IF(ISBLANK('Eid List Entry'!C114),6,
IF(ISBLANK('Eid List Entry'!C134),7,
IF(ISBLANK('Eid List Entry'!C154),8,
IF(ISBLANK('Eid List Entry'!C174),9,
IF(ISBLANK('Eid List Entry'!C194),10,
IF(ISBLANK('Eid List Entry'!C214),11,
IF(ISBLANK('Eid List Entry'!C234),12,
IF(ISBLANK('Eid List Entry'!C254),13))))))))))))))</f>
        <v>1 of 1</v>
      </c>
      <c r="C5" s="311" t="s">
        <v>16</v>
      </c>
      <c r="D5" s="311"/>
      <c r="E5" s="311"/>
      <c r="F5" s="311"/>
      <c r="G5" s="311"/>
      <c r="H5" s="311"/>
      <c r="I5" s="28"/>
      <c r="J5" s="13" t="s">
        <v>17</v>
      </c>
      <c r="K5" s="28"/>
      <c r="L5" s="28"/>
      <c r="M5" s="13" t="s">
        <v>18</v>
      </c>
      <c r="O5" s="28"/>
      <c r="P5" s="28"/>
      <c r="Q5" s="13" t="s">
        <v>19</v>
      </c>
      <c r="R5" s="28"/>
      <c r="S5" s="28"/>
      <c r="T5" s="13" t="s">
        <v>20</v>
      </c>
      <c r="U5" s="28"/>
      <c r="V5" s="28"/>
      <c r="W5" s="318" t="s">
        <v>27</v>
      </c>
      <c r="X5" s="318"/>
      <c r="Y5" s="318"/>
      <c r="Z5" s="234" t="s">
        <v>7</v>
      </c>
      <c r="AA5" s="286" t="s">
        <v>1</v>
      </c>
      <c r="AB5" s="236" t="s">
        <v>21</v>
      </c>
      <c r="AC5" s="237"/>
      <c r="AD5" s="232"/>
      <c r="AE5" s="236" t="s">
        <v>39</v>
      </c>
      <c r="AF5" s="232"/>
      <c r="AH5" s="295"/>
      <c r="AI5" s="295"/>
      <c r="AJ5" s="295"/>
      <c r="AK5" s="295"/>
      <c r="AL5" s="295"/>
      <c r="AM5" s="295"/>
    </row>
    <row r="6" spans="2:39" ht="18.75" customHeight="1" x14ac:dyDescent="0.25">
      <c r="B6" s="321"/>
      <c r="C6" s="71"/>
      <c r="D6" s="70" t="s">
        <v>22</v>
      </c>
      <c r="E6" s="71"/>
      <c r="F6" s="71"/>
      <c r="G6" s="71"/>
      <c r="H6" s="70" t="s">
        <v>23</v>
      </c>
      <c r="I6" s="71"/>
      <c r="J6" s="71"/>
      <c r="K6" s="70" t="s">
        <v>24</v>
      </c>
      <c r="L6" s="71"/>
      <c r="M6" s="71"/>
      <c r="N6" s="70" t="s">
        <v>25</v>
      </c>
      <c r="O6" s="71"/>
      <c r="P6" s="71"/>
      <c r="Q6" s="71"/>
      <c r="R6" s="71"/>
      <c r="S6" s="71"/>
      <c r="T6" s="72" t="s">
        <v>26</v>
      </c>
      <c r="U6" s="71"/>
      <c r="V6" s="312" t="s">
        <v>78</v>
      </c>
      <c r="W6" s="312"/>
      <c r="X6" s="312"/>
      <c r="Y6" s="312"/>
      <c r="Z6" s="234"/>
      <c r="AA6" s="234"/>
      <c r="AB6" s="238"/>
      <c r="AC6" s="239"/>
      <c r="AD6" s="233"/>
      <c r="AE6" s="238"/>
      <c r="AF6" s="233"/>
      <c r="AH6" s="295"/>
      <c r="AI6" s="295"/>
      <c r="AJ6" s="295"/>
      <c r="AK6" s="295"/>
      <c r="AL6" s="295"/>
      <c r="AM6" s="295"/>
    </row>
    <row r="7" spans="2:39" ht="15.75" customHeight="1" x14ac:dyDescent="0.25">
      <c r="B7" s="322"/>
      <c r="C7" s="313" t="s">
        <v>3</v>
      </c>
      <c r="D7" s="313"/>
      <c r="E7" s="313"/>
      <c r="F7" s="313"/>
      <c r="G7" s="314">
        <f>'Eid List Entry'!H5</f>
        <v>0</v>
      </c>
      <c r="H7" s="314"/>
      <c r="I7" s="314"/>
      <c r="J7" s="314"/>
      <c r="K7" s="2"/>
      <c r="L7" s="2"/>
      <c r="M7" s="2"/>
      <c r="N7" s="2"/>
      <c r="O7" s="2"/>
      <c r="P7" s="2"/>
      <c r="Q7" s="2"/>
      <c r="R7" s="2"/>
      <c r="S7" s="2"/>
      <c r="T7" s="2"/>
      <c r="U7" s="2"/>
      <c r="V7" s="2"/>
      <c r="W7" s="2"/>
      <c r="X7" s="2"/>
      <c r="Y7" s="2"/>
      <c r="Z7" s="234"/>
      <c r="AA7" s="235"/>
      <c r="AB7" s="240"/>
      <c r="AC7" s="241"/>
      <c r="AD7" s="242"/>
      <c r="AE7" s="238"/>
      <c r="AF7" s="233"/>
      <c r="AH7" s="295"/>
      <c r="AI7" s="295"/>
      <c r="AJ7" s="295"/>
      <c r="AK7" s="295"/>
      <c r="AL7" s="295"/>
      <c r="AM7" s="295"/>
    </row>
    <row r="8" spans="2:39" ht="38.25" customHeight="1" x14ac:dyDescent="0.25">
      <c r="B8" s="68" t="s">
        <v>2</v>
      </c>
      <c r="C8" s="315" t="s">
        <v>62</v>
      </c>
      <c r="D8" s="316"/>
      <c r="E8" s="316"/>
      <c r="F8" s="316"/>
      <c r="G8" s="316"/>
      <c r="H8" s="316"/>
      <c r="I8" s="316"/>
      <c r="J8" s="316"/>
      <c r="K8" s="316"/>
      <c r="L8" s="316"/>
      <c r="M8" s="316"/>
      <c r="N8" s="316"/>
      <c r="O8" s="316"/>
      <c r="P8" s="316"/>
      <c r="Q8" s="316"/>
      <c r="R8" s="316"/>
      <c r="S8" s="316"/>
      <c r="T8" s="316"/>
      <c r="U8" s="316"/>
      <c r="V8" s="316"/>
      <c r="W8" s="316"/>
      <c r="X8" s="316"/>
      <c r="Y8" s="100" t="s">
        <v>28</v>
      </c>
      <c r="Z8" s="233"/>
      <c r="AA8" s="8" t="s">
        <v>73</v>
      </c>
      <c r="AB8" s="75" t="s">
        <v>73</v>
      </c>
      <c r="AC8" s="317" t="s">
        <v>73</v>
      </c>
      <c r="AD8" s="317"/>
      <c r="AE8" s="238"/>
      <c r="AF8" s="233"/>
      <c r="AH8" s="295"/>
      <c r="AI8" s="295"/>
      <c r="AJ8" s="295"/>
      <c r="AK8" s="295"/>
      <c r="AL8" s="295"/>
      <c r="AM8" s="295"/>
    </row>
    <row r="9" spans="2:39" ht="15" customHeight="1" x14ac:dyDescent="0.25">
      <c r="B9" s="69" t="str">
        <f>'Eid List Entry'!B3</f>
        <v xml:space="preserve"> </v>
      </c>
      <c r="C9" s="215">
        <f>'Eid List Entry'!C3</f>
        <v>0</v>
      </c>
      <c r="D9" s="216"/>
      <c r="E9" s="216"/>
      <c r="F9" s="216"/>
      <c r="G9" s="216"/>
      <c r="H9" s="216"/>
      <c r="I9" s="216"/>
      <c r="J9" s="216"/>
      <c r="K9" s="216"/>
      <c r="L9" s="216"/>
      <c r="M9" s="216"/>
      <c r="N9" s="216"/>
      <c r="O9" s="216"/>
      <c r="P9" s="216"/>
      <c r="Q9" s="216"/>
      <c r="R9" s="216"/>
      <c r="S9" s="216"/>
      <c r="T9" s="216"/>
      <c r="U9" s="216"/>
      <c r="V9" s="216"/>
      <c r="W9" s="216"/>
      <c r="X9" s="216"/>
      <c r="Y9" s="21">
        <f>'Eid List Entry'!E3</f>
        <v>0</v>
      </c>
      <c r="Z9" s="104">
        <f>'Eid List Entry'!D3</f>
        <v>0</v>
      </c>
      <c r="AA9" s="74"/>
      <c r="AB9" s="76"/>
      <c r="AC9" s="217"/>
      <c r="AD9" s="218"/>
      <c r="AE9" s="287"/>
      <c r="AF9" s="225"/>
      <c r="AH9" s="295"/>
      <c r="AI9" s="295"/>
      <c r="AJ9" s="295"/>
      <c r="AK9" s="295"/>
      <c r="AL9" s="295"/>
      <c r="AM9" s="295"/>
    </row>
    <row r="10" spans="2:39" ht="15" customHeight="1" x14ac:dyDescent="0.25">
      <c r="B10" s="69" t="str">
        <f>'Eid List Entry'!B4</f>
        <v xml:space="preserve"> </v>
      </c>
      <c r="C10" s="215">
        <f>'Eid List Entry'!C4</f>
        <v>0</v>
      </c>
      <c r="D10" s="216"/>
      <c r="E10" s="216"/>
      <c r="F10" s="216"/>
      <c r="G10" s="216"/>
      <c r="H10" s="216"/>
      <c r="I10" s="216"/>
      <c r="J10" s="216"/>
      <c r="K10" s="216"/>
      <c r="L10" s="216"/>
      <c r="M10" s="216"/>
      <c r="N10" s="216"/>
      <c r="O10" s="216"/>
      <c r="P10" s="216"/>
      <c r="Q10" s="216"/>
      <c r="R10" s="216"/>
      <c r="S10" s="216"/>
      <c r="T10" s="216"/>
      <c r="U10" s="216"/>
      <c r="V10" s="216"/>
      <c r="W10" s="216"/>
      <c r="X10" s="216"/>
      <c r="Y10" s="21">
        <f>'Eid List Entry'!E4</f>
        <v>0</v>
      </c>
      <c r="Z10" s="104">
        <f>'Eid List Entry'!D4</f>
        <v>0</v>
      </c>
      <c r="AA10" s="73"/>
      <c r="AB10" s="76"/>
      <c r="AC10" s="217"/>
      <c r="AD10" s="218"/>
      <c r="AE10" s="219"/>
      <c r="AF10" s="218"/>
      <c r="AH10" s="295"/>
      <c r="AI10" s="295"/>
      <c r="AJ10" s="295"/>
      <c r="AK10" s="295"/>
      <c r="AL10" s="295"/>
      <c r="AM10" s="295"/>
    </row>
    <row r="11" spans="2:39" ht="15" customHeight="1" x14ac:dyDescent="0.25">
      <c r="B11" s="69" t="str">
        <f>'Eid List Entry'!B5</f>
        <v xml:space="preserve"> </v>
      </c>
      <c r="C11" s="215">
        <f>'Eid List Entry'!C5</f>
        <v>0</v>
      </c>
      <c r="D11" s="216"/>
      <c r="E11" s="216"/>
      <c r="F11" s="216"/>
      <c r="G11" s="216"/>
      <c r="H11" s="216"/>
      <c r="I11" s="216"/>
      <c r="J11" s="216"/>
      <c r="K11" s="216"/>
      <c r="L11" s="216"/>
      <c r="M11" s="216"/>
      <c r="N11" s="216"/>
      <c r="O11" s="216"/>
      <c r="P11" s="216"/>
      <c r="Q11" s="216"/>
      <c r="R11" s="216"/>
      <c r="S11" s="216"/>
      <c r="T11" s="216"/>
      <c r="U11" s="216"/>
      <c r="V11" s="216"/>
      <c r="W11" s="216"/>
      <c r="X11" s="216"/>
      <c r="Y11" s="21">
        <f>'Eid List Entry'!E5</f>
        <v>0</v>
      </c>
      <c r="Z11" s="104">
        <f>'Eid List Entry'!D5</f>
        <v>0</v>
      </c>
      <c r="AA11" s="73"/>
      <c r="AB11" s="76"/>
      <c r="AC11" s="217"/>
      <c r="AD11" s="218"/>
      <c r="AE11" s="219"/>
      <c r="AF11" s="218"/>
      <c r="AH11" s="295"/>
      <c r="AI11" s="295"/>
      <c r="AJ11" s="295"/>
      <c r="AK11" s="295"/>
      <c r="AL11" s="295"/>
      <c r="AM11" s="295"/>
    </row>
    <row r="12" spans="2:39" ht="15" customHeight="1" x14ac:dyDescent="0.25">
      <c r="B12" s="69" t="str">
        <f>'Eid List Entry'!B6</f>
        <v xml:space="preserve"> </v>
      </c>
      <c r="C12" s="215">
        <f>'Eid List Entry'!C6</f>
        <v>0</v>
      </c>
      <c r="D12" s="216"/>
      <c r="E12" s="216"/>
      <c r="F12" s="216"/>
      <c r="G12" s="216"/>
      <c r="H12" s="216"/>
      <c r="I12" s="216"/>
      <c r="J12" s="216"/>
      <c r="K12" s="216"/>
      <c r="L12" s="216"/>
      <c r="M12" s="216"/>
      <c r="N12" s="216"/>
      <c r="O12" s="216"/>
      <c r="P12" s="216"/>
      <c r="Q12" s="216"/>
      <c r="R12" s="216"/>
      <c r="S12" s="216"/>
      <c r="T12" s="216"/>
      <c r="U12" s="216"/>
      <c r="V12" s="216"/>
      <c r="W12" s="216"/>
      <c r="X12" s="216"/>
      <c r="Y12" s="21">
        <f>'Eid List Entry'!E6</f>
        <v>0</v>
      </c>
      <c r="Z12" s="104">
        <f>'Eid List Entry'!D6</f>
        <v>0</v>
      </c>
      <c r="AA12" s="73"/>
      <c r="AB12" s="76"/>
      <c r="AC12" s="217"/>
      <c r="AD12" s="218"/>
      <c r="AE12" s="219"/>
      <c r="AF12" s="218"/>
      <c r="AH12" s="295"/>
      <c r="AI12" s="295"/>
      <c r="AJ12" s="295"/>
      <c r="AK12" s="295"/>
      <c r="AL12" s="295"/>
      <c r="AM12" s="295"/>
    </row>
    <row r="13" spans="2:39" ht="15" customHeight="1" x14ac:dyDescent="0.25">
      <c r="B13" s="69" t="str">
        <f>'Eid List Entry'!B7</f>
        <v xml:space="preserve"> </v>
      </c>
      <c r="C13" s="215">
        <f>'Eid List Entry'!C7</f>
        <v>0</v>
      </c>
      <c r="D13" s="216"/>
      <c r="E13" s="216"/>
      <c r="F13" s="216"/>
      <c r="G13" s="216"/>
      <c r="H13" s="216"/>
      <c r="I13" s="216"/>
      <c r="J13" s="216"/>
      <c r="K13" s="216"/>
      <c r="L13" s="216"/>
      <c r="M13" s="216"/>
      <c r="N13" s="216"/>
      <c r="O13" s="216"/>
      <c r="P13" s="216"/>
      <c r="Q13" s="216"/>
      <c r="R13" s="216"/>
      <c r="S13" s="216"/>
      <c r="T13" s="216"/>
      <c r="U13" s="216"/>
      <c r="V13" s="216"/>
      <c r="W13" s="216"/>
      <c r="X13" s="216"/>
      <c r="Y13" s="21">
        <f>'Eid List Entry'!E7</f>
        <v>0</v>
      </c>
      <c r="Z13" s="104">
        <f>'Eid List Entry'!D7</f>
        <v>0</v>
      </c>
      <c r="AA13" s="73"/>
      <c r="AB13" s="76"/>
      <c r="AC13" s="217"/>
      <c r="AD13" s="218"/>
      <c r="AE13" s="219"/>
      <c r="AF13" s="218"/>
      <c r="AH13" s="295"/>
      <c r="AI13" s="295"/>
      <c r="AJ13" s="295"/>
      <c r="AK13" s="295"/>
      <c r="AL13" s="295"/>
      <c r="AM13" s="295"/>
    </row>
    <row r="14" spans="2:39" ht="15" customHeight="1" x14ac:dyDescent="0.25">
      <c r="B14" s="69" t="str">
        <f>'Eid List Entry'!B8</f>
        <v xml:space="preserve"> </v>
      </c>
      <c r="C14" s="215">
        <f>'Eid List Entry'!C8</f>
        <v>0</v>
      </c>
      <c r="D14" s="216"/>
      <c r="E14" s="216"/>
      <c r="F14" s="216"/>
      <c r="G14" s="216"/>
      <c r="H14" s="216"/>
      <c r="I14" s="216"/>
      <c r="J14" s="216"/>
      <c r="K14" s="216"/>
      <c r="L14" s="216"/>
      <c r="M14" s="216"/>
      <c r="N14" s="216"/>
      <c r="O14" s="216"/>
      <c r="P14" s="216"/>
      <c r="Q14" s="216"/>
      <c r="R14" s="216"/>
      <c r="S14" s="216"/>
      <c r="T14" s="216"/>
      <c r="U14" s="216"/>
      <c r="V14" s="216"/>
      <c r="W14" s="216"/>
      <c r="X14" s="216"/>
      <c r="Y14" s="21">
        <f>'Eid List Entry'!E8</f>
        <v>0</v>
      </c>
      <c r="Z14" s="104">
        <f>'Eid List Entry'!D8</f>
        <v>0</v>
      </c>
      <c r="AA14" s="73"/>
      <c r="AB14" s="76"/>
      <c r="AC14" s="217"/>
      <c r="AD14" s="218"/>
      <c r="AE14" s="219"/>
      <c r="AF14" s="218"/>
      <c r="AH14" s="295"/>
      <c r="AI14" s="295"/>
      <c r="AJ14" s="295"/>
      <c r="AK14" s="295"/>
      <c r="AL14" s="295"/>
      <c r="AM14" s="295"/>
    </row>
    <row r="15" spans="2:39" ht="15" customHeight="1" x14ac:dyDescent="0.25">
      <c r="B15" s="69" t="str">
        <f>'Eid List Entry'!B9</f>
        <v xml:space="preserve"> </v>
      </c>
      <c r="C15" s="215">
        <f>'Eid List Entry'!C9</f>
        <v>0</v>
      </c>
      <c r="D15" s="216"/>
      <c r="E15" s="216"/>
      <c r="F15" s="216"/>
      <c r="G15" s="216"/>
      <c r="H15" s="216"/>
      <c r="I15" s="216"/>
      <c r="J15" s="216"/>
      <c r="K15" s="216"/>
      <c r="L15" s="216"/>
      <c r="M15" s="216"/>
      <c r="N15" s="216"/>
      <c r="O15" s="216"/>
      <c r="P15" s="216"/>
      <c r="Q15" s="216"/>
      <c r="R15" s="216"/>
      <c r="S15" s="216"/>
      <c r="T15" s="216"/>
      <c r="U15" s="216"/>
      <c r="V15" s="216"/>
      <c r="W15" s="216"/>
      <c r="X15" s="216"/>
      <c r="Y15" s="21">
        <f>'Eid List Entry'!E9</f>
        <v>0</v>
      </c>
      <c r="Z15" s="104">
        <f>'Eid List Entry'!D9</f>
        <v>0</v>
      </c>
      <c r="AA15" s="73"/>
      <c r="AB15" s="76"/>
      <c r="AC15" s="217"/>
      <c r="AD15" s="218"/>
      <c r="AE15" s="219"/>
      <c r="AF15" s="218"/>
      <c r="AH15" s="295"/>
      <c r="AI15" s="295"/>
      <c r="AJ15" s="295"/>
      <c r="AK15" s="295"/>
      <c r="AL15" s="295"/>
      <c r="AM15" s="295"/>
    </row>
    <row r="16" spans="2:39" ht="15" customHeight="1" x14ac:dyDescent="0.25">
      <c r="B16" s="69" t="str">
        <f>'Eid List Entry'!B10</f>
        <v xml:space="preserve"> </v>
      </c>
      <c r="C16" s="215">
        <f>'Eid List Entry'!C10</f>
        <v>0</v>
      </c>
      <c r="D16" s="216"/>
      <c r="E16" s="216"/>
      <c r="F16" s="216"/>
      <c r="G16" s="216"/>
      <c r="H16" s="216"/>
      <c r="I16" s="216"/>
      <c r="J16" s="216"/>
      <c r="K16" s="216"/>
      <c r="L16" s="216"/>
      <c r="M16" s="216"/>
      <c r="N16" s="216"/>
      <c r="O16" s="216"/>
      <c r="P16" s="216"/>
      <c r="Q16" s="216"/>
      <c r="R16" s="216"/>
      <c r="S16" s="216"/>
      <c r="T16" s="216"/>
      <c r="U16" s="216"/>
      <c r="V16" s="216"/>
      <c r="W16" s="216"/>
      <c r="X16" s="216"/>
      <c r="Y16" s="21">
        <f>'Eid List Entry'!E10</f>
        <v>0</v>
      </c>
      <c r="Z16" s="104">
        <f>'Eid List Entry'!D10</f>
        <v>0</v>
      </c>
      <c r="AA16" s="73"/>
      <c r="AB16" s="76"/>
      <c r="AC16" s="217"/>
      <c r="AD16" s="218"/>
      <c r="AE16" s="219"/>
      <c r="AF16" s="218"/>
      <c r="AH16" s="295"/>
      <c r="AI16" s="295"/>
      <c r="AJ16" s="295"/>
      <c r="AK16" s="295"/>
      <c r="AL16" s="295"/>
      <c r="AM16" s="295"/>
    </row>
    <row r="17" spans="2:39" ht="15" customHeight="1" x14ac:dyDescent="0.25">
      <c r="B17" s="69" t="str">
        <f>'Eid List Entry'!B11</f>
        <v xml:space="preserve"> </v>
      </c>
      <c r="C17" s="215">
        <f>'Eid List Entry'!C11</f>
        <v>0</v>
      </c>
      <c r="D17" s="216"/>
      <c r="E17" s="216"/>
      <c r="F17" s="216"/>
      <c r="G17" s="216"/>
      <c r="H17" s="216"/>
      <c r="I17" s="216"/>
      <c r="J17" s="216"/>
      <c r="K17" s="216"/>
      <c r="L17" s="216"/>
      <c r="M17" s="216"/>
      <c r="N17" s="216"/>
      <c r="O17" s="216"/>
      <c r="P17" s="216"/>
      <c r="Q17" s="216"/>
      <c r="R17" s="216"/>
      <c r="S17" s="216"/>
      <c r="T17" s="216"/>
      <c r="U17" s="216"/>
      <c r="V17" s="216"/>
      <c r="W17" s="216"/>
      <c r="X17" s="216"/>
      <c r="Y17" s="21">
        <f>'Eid List Entry'!E11</f>
        <v>0</v>
      </c>
      <c r="Z17" s="104">
        <f>'Eid List Entry'!D11</f>
        <v>0</v>
      </c>
      <c r="AA17" s="73"/>
      <c r="AB17" s="76"/>
      <c r="AC17" s="217"/>
      <c r="AD17" s="218"/>
      <c r="AE17" s="219"/>
      <c r="AF17" s="218"/>
      <c r="AH17" s="295"/>
      <c r="AI17" s="295"/>
      <c r="AJ17" s="295"/>
      <c r="AK17" s="295"/>
      <c r="AL17" s="295"/>
      <c r="AM17" s="295"/>
    </row>
    <row r="18" spans="2:39" ht="15" customHeight="1" x14ac:dyDescent="0.25">
      <c r="B18" s="69" t="str">
        <f>'Eid List Entry'!B12</f>
        <v xml:space="preserve"> </v>
      </c>
      <c r="C18" s="215">
        <f>'Eid List Entry'!C12</f>
        <v>0</v>
      </c>
      <c r="D18" s="216"/>
      <c r="E18" s="216"/>
      <c r="F18" s="216"/>
      <c r="G18" s="216"/>
      <c r="H18" s="216"/>
      <c r="I18" s="216"/>
      <c r="J18" s="216"/>
      <c r="K18" s="216"/>
      <c r="L18" s="216"/>
      <c r="M18" s="216"/>
      <c r="N18" s="216"/>
      <c r="O18" s="216"/>
      <c r="P18" s="216"/>
      <c r="Q18" s="216"/>
      <c r="R18" s="216"/>
      <c r="S18" s="216"/>
      <c r="T18" s="216"/>
      <c r="U18" s="216"/>
      <c r="V18" s="216"/>
      <c r="W18" s="216"/>
      <c r="X18" s="216"/>
      <c r="Y18" s="21">
        <f>'Eid List Entry'!E12</f>
        <v>0</v>
      </c>
      <c r="Z18" s="104">
        <f>'Eid List Entry'!D12</f>
        <v>0</v>
      </c>
      <c r="AA18" s="73"/>
      <c r="AB18" s="76"/>
      <c r="AC18" s="217"/>
      <c r="AD18" s="218"/>
      <c r="AE18" s="219"/>
      <c r="AF18" s="218"/>
      <c r="AH18" s="295"/>
      <c r="AI18" s="295"/>
      <c r="AJ18" s="295"/>
      <c r="AK18" s="295"/>
      <c r="AL18" s="295"/>
      <c r="AM18" s="295"/>
    </row>
    <row r="19" spans="2:39" ht="15" customHeight="1" x14ac:dyDescent="0.25">
      <c r="B19" s="69" t="str">
        <f>'Eid List Entry'!B13</f>
        <v xml:space="preserve"> </v>
      </c>
      <c r="C19" s="215">
        <f>'Eid List Entry'!C13</f>
        <v>0</v>
      </c>
      <c r="D19" s="216"/>
      <c r="E19" s="216"/>
      <c r="F19" s="216"/>
      <c r="G19" s="216"/>
      <c r="H19" s="216"/>
      <c r="I19" s="216"/>
      <c r="J19" s="216"/>
      <c r="K19" s="216"/>
      <c r="L19" s="216"/>
      <c r="M19" s="216"/>
      <c r="N19" s="216"/>
      <c r="O19" s="216"/>
      <c r="P19" s="216"/>
      <c r="Q19" s="216"/>
      <c r="R19" s="216"/>
      <c r="S19" s="216"/>
      <c r="T19" s="216"/>
      <c r="U19" s="216"/>
      <c r="V19" s="216"/>
      <c r="W19" s="216"/>
      <c r="X19" s="216"/>
      <c r="Y19" s="21">
        <f>'Eid List Entry'!E13</f>
        <v>0</v>
      </c>
      <c r="Z19" s="104">
        <f>'Eid List Entry'!D13</f>
        <v>0</v>
      </c>
      <c r="AA19" s="73"/>
      <c r="AB19" s="76"/>
      <c r="AC19" s="217"/>
      <c r="AD19" s="218"/>
      <c r="AE19" s="219"/>
      <c r="AF19" s="218"/>
      <c r="AH19" s="295"/>
      <c r="AI19" s="295"/>
      <c r="AJ19" s="295"/>
      <c r="AK19" s="295"/>
      <c r="AL19" s="295"/>
      <c r="AM19" s="295"/>
    </row>
    <row r="20" spans="2:39" ht="3" customHeight="1" thickBot="1" x14ac:dyDescent="0.3">
      <c r="B20" s="14"/>
      <c r="C20" s="14"/>
      <c r="D20" s="14"/>
      <c r="E20" s="14"/>
      <c r="F20" s="14"/>
      <c r="G20" s="14"/>
      <c r="H20" s="14"/>
      <c r="I20" s="14"/>
      <c r="J20" s="14"/>
      <c r="K20" s="14"/>
      <c r="L20" s="14"/>
      <c r="M20" s="14"/>
      <c r="N20" s="14"/>
      <c r="O20" s="14"/>
      <c r="P20" s="14"/>
      <c r="Q20" s="14"/>
      <c r="R20" s="14"/>
      <c r="S20" s="14"/>
      <c r="T20" s="14"/>
      <c r="U20" s="14"/>
      <c r="V20" s="14"/>
      <c r="W20" s="14"/>
      <c r="X20" s="14"/>
      <c r="Y20" s="14"/>
      <c r="Z20" s="14"/>
      <c r="AA20" s="14"/>
      <c r="AB20" s="14"/>
      <c r="AC20" s="14"/>
      <c r="AD20" s="14"/>
      <c r="AE20" s="14"/>
      <c r="AF20" s="14"/>
    </row>
    <row r="21" spans="2:39" ht="18" customHeight="1" x14ac:dyDescent="0.25">
      <c r="B21" s="83" t="s">
        <v>29</v>
      </c>
      <c r="C21" s="84"/>
      <c r="D21" s="301">
        <f>'Eid List Entry'!H6</f>
        <v>0</v>
      </c>
      <c r="E21" s="301"/>
      <c r="F21" s="301"/>
      <c r="G21" s="301"/>
      <c r="H21" s="85"/>
      <c r="I21" s="85"/>
      <c r="J21" s="85"/>
      <c r="K21" s="85"/>
      <c r="L21" s="85"/>
      <c r="M21" s="85"/>
      <c r="N21" s="85"/>
      <c r="O21" s="85"/>
      <c r="P21" s="85"/>
      <c r="Q21" s="86"/>
      <c r="R21" s="302" t="s">
        <v>30</v>
      </c>
      <c r="S21" s="302"/>
      <c r="T21" s="302"/>
      <c r="U21" s="84"/>
      <c r="V21" s="303" t="s">
        <v>29</v>
      </c>
      <c r="W21" s="303"/>
      <c r="X21" s="303"/>
      <c r="Y21" s="303"/>
      <c r="Z21" s="304"/>
      <c r="AA21" s="304"/>
      <c r="AB21" s="304"/>
      <c r="AC21" s="304"/>
      <c r="AD21" s="304"/>
      <c r="AE21" s="87" t="s">
        <v>30</v>
      </c>
      <c r="AF21" s="88"/>
    </row>
    <row r="22" spans="2:39" ht="10.5" customHeight="1" x14ac:dyDescent="0.25">
      <c r="B22" s="89"/>
      <c r="C22" s="90"/>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1"/>
    </row>
    <row r="23" spans="2:39" ht="18" customHeight="1" x14ac:dyDescent="0.25">
      <c r="B23" s="92" t="s">
        <v>29</v>
      </c>
      <c r="C23" s="93"/>
      <c r="D23" s="323"/>
      <c r="E23" s="323"/>
      <c r="F23" s="323"/>
      <c r="G23" s="323"/>
      <c r="H23" s="323"/>
      <c r="I23" s="323"/>
      <c r="J23" s="323"/>
      <c r="K23" s="323"/>
      <c r="L23" s="323"/>
      <c r="M23" s="323"/>
      <c r="N23" s="323"/>
      <c r="O23" s="323"/>
      <c r="P23" s="323"/>
      <c r="Q23" s="323"/>
      <c r="R23" s="324" t="s">
        <v>30</v>
      </c>
      <c r="S23" s="324"/>
      <c r="T23" s="324"/>
      <c r="U23" s="90"/>
      <c r="V23" s="325" t="s">
        <v>29</v>
      </c>
      <c r="W23" s="325"/>
      <c r="X23" s="325"/>
      <c r="Y23" s="325"/>
      <c r="Z23" s="307"/>
      <c r="AA23" s="307"/>
      <c r="AB23" s="307"/>
      <c r="AC23" s="307"/>
      <c r="AD23" s="307"/>
      <c r="AE23" s="94" t="s">
        <v>30</v>
      </c>
      <c r="AF23" s="95"/>
    </row>
    <row r="24" spans="2:39" ht="9" customHeight="1" thickBot="1" x14ac:dyDescent="0.3">
      <c r="B24" s="96"/>
      <c r="C24" s="97"/>
      <c r="D24" s="97"/>
      <c r="E24" s="97"/>
      <c r="F24" s="97"/>
      <c r="G24" s="97"/>
      <c r="H24" s="97"/>
      <c r="I24" s="97"/>
      <c r="J24" s="97"/>
      <c r="K24" s="97"/>
      <c r="L24" s="97"/>
      <c r="M24" s="97"/>
      <c r="N24" s="97"/>
      <c r="O24" s="97"/>
      <c r="P24" s="97"/>
      <c r="Q24" s="97"/>
      <c r="R24" s="97"/>
      <c r="S24" s="97"/>
      <c r="T24" s="97"/>
      <c r="U24" s="97"/>
      <c r="V24" s="97"/>
      <c r="W24" s="97"/>
      <c r="X24" s="97"/>
      <c r="Y24" s="97"/>
      <c r="Z24" s="308"/>
      <c r="AA24" s="308"/>
      <c r="AB24" s="308"/>
      <c r="AC24" s="308"/>
      <c r="AD24" s="308"/>
      <c r="AE24" s="308"/>
      <c r="AF24" s="98"/>
    </row>
    <row r="25" spans="2:39" ht="6.75" customHeight="1" x14ac:dyDescent="0.25">
      <c r="B25" s="309"/>
      <c r="C25" s="309"/>
      <c r="D25" s="309"/>
      <c r="E25" s="11"/>
      <c r="F25" s="11"/>
      <c r="G25" s="11"/>
      <c r="H25" s="11"/>
      <c r="I25" s="11"/>
      <c r="J25" s="11"/>
      <c r="K25" s="11"/>
      <c r="L25" s="11"/>
      <c r="M25" s="11"/>
      <c r="N25" s="11"/>
      <c r="O25" s="11"/>
      <c r="P25" s="11"/>
      <c r="Q25" s="11"/>
      <c r="R25" s="11"/>
      <c r="S25" s="11"/>
      <c r="T25" s="11"/>
      <c r="U25" s="11"/>
      <c r="V25" s="11"/>
      <c r="W25" s="11"/>
      <c r="X25" s="11"/>
      <c r="Y25" s="11"/>
      <c r="Z25" s="11"/>
      <c r="AA25" s="11"/>
      <c r="AB25" s="55"/>
      <c r="AC25" s="55"/>
      <c r="AD25" s="55"/>
      <c r="AE25" s="55"/>
      <c r="AF25" s="55"/>
    </row>
    <row r="26" spans="2:39" s="1" customFormat="1" ht="18" customHeight="1" x14ac:dyDescent="0.25">
      <c r="B26" s="16"/>
      <c r="C26" s="16"/>
      <c r="D26" s="16"/>
      <c r="E26" s="11"/>
      <c r="F26"/>
      <c r="G26"/>
      <c r="H26" s="296" t="s">
        <v>32</v>
      </c>
      <c r="I26" s="296"/>
      <c r="J26" s="296"/>
      <c r="K26" s="296"/>
      <c r="L26" s="296"/>
      <c r="M26" s="296"/>
      <c r="N26" s="296"/>
      <c r="O26" s="296"/>
      <c r="P26" s="296"/>
      <c r="Q26" s="99"/>
      <c r="R26" s="296" t="s">
        <v>4</v>
      </c>
      <c r="S26" s="296"/>
      <c r="T26" s="296"/>
      <c r="U26" s="296"/>
      <c r="V26" s="296"/>
      <c r="W26" s="296"/>
      <c r="X26" s="296"/>
      <c r="Y26" s="296"/>
      <c r="Z26" s="55"/>
      <c r="AA26" s="305" t="s">
        <v>5</v>
      </c>
      <c r="AB26" s="305"/>
      <c r="AC26" s="306">
        <f>'Eid List Entry'!H9</f>
        <v>0</v>
      </c>
      <c r="AD26" s="306"/>
      <c r="AE26" s="306"/>
      <c r="AF26" s="306"/>
    </row>
    <row r="27" spans="2:39" ht="15.75" customHeight="1" x14ac:dyDescent="0.25">
      <c r="B27" s="310" t="s">
        <v>33</v>
      </c>
      <c r="C27" s="310"/>
      <c r="D27" s="310"/>
      <c r="E27" s="310"/>
      <c r="F27" s="310"/>
      <c r="H27" s="298"/>
      <c r="I27" s="298"/>
      <c r="J27" s="298"/>
      <c r="K27" s="298"/>
      <c r="L27" s="298"/>
      <c r="M27" s="298"/>
      <c r="N27" s="298"/>
      <c r="O27" s="298"/>
      <c r="P27" s="298"/>
      <c r="Q27" s="27"/>
      <c r="R27" s="297"/>
      <c r="S27" s="297"/>
      <c r="T27" s="297"/>
      <c r="U27" s="297"/>
      <c r="V27" s="297"/>
      <c r="W27" s="297"/>
      <c r="X27" s="297"/>
      <c r="Y27" s="297"/>
      <c r="Z27" s="55"/>
      <c r="AA27" s="55"/>
      <c r="AB27" s="55"/>
      <c r="AC27" s="306"/>
      <c r="AD27" s="306"/>
      <c r="AE27" s="306"/>
      <c r="AF27" s="306"/>
    </row>
    <row r="28" spans="2:39" ht="9" customHeight="1" x14ac:dyDescent="0.25">
      <c r="B28" s="18"/>
      <c r="C28" s="18"/>
      <c r="D28" s="18"/>
      <c r="E28" s="19"/>
      <c r="H28" s="18"/>
      <c r="I28" s="18"/>
      <c r="J28" s="18"/>
      <c r="K28" s="18"/>
      <c r="L28" s="18"/>
      <c r="M28" s="18"/>
      <c r="N28" s="18"/>
      <c r="O28" s="18"/>
      <c r="P28" s="17"/>
      <c r="Q28" s="17"/>
      <c r="R28" s="17"/>
      <c r="S28" s="17"/>
      <c r="T28" s="17"/>
      <c r="U28" s="17"/>
      <c r="V28" s="17"/>
      <c r="Z28" s="55"/>
      <c r="AA28" s="55"/>
      <c r="AB28" s="55"/>
      <c r="AC28" s="306"/>
      <c r="AD28" s="306"/>
      <c r="AE28" s="306"/>
      <c r="AF28" s="306"/>
    </row>
    <row r="29" spans="2:39" ht="15.75" customHeight="1" x14ac:dyDescent="0.25">
      <c r="B29" s="20" t="s">
        <v>34</v>
      </c>
      <c r="C29" s="20"/>
      <c r="D29" s="20"/>
      <c r="E29" s="19"/>
      <c r="H29" s="298"/>
      <c r="I29" s="298"/>
      <c r="J29" s="298"/>
      <c r="K29" s="298"/>
      <c r="L29" s="298"/>
      <c r="M29" s="298"/>
      <c r="N29" s="298"/>
      <c r="O29" s="298"/>
      <c r="P29" s="298"/>
      <c r="Q29" s="27"/>
      <c r="R29" s="299"/>
      <c r="S29" s="299"/>
      <c r="T29" s="299"/>
      <c r="U29" s="299"/>
      <c r="V29" s="299"/>
      <c r="W29" s="299"/>
      <c r="X29" s="299"/>
      <c r="Y29" s="299"/>
      <c r="Z29" s="300" t="s">
        <v>31</v>
      </c>
      <c r="AA29" s="300"/>
      <c r="AB29" s="300"/>
      <c r="AC29" s="300"/>
      <c r="AD29" s="300"/>
      <c r="AE29" s="300"/>
      <c r="AF29" s="15"/>
      <c r="AG29" s="15"/>
      <c r="AH29" s="15"/>
      <c r="AI29" s="15"/>
      <c r="AJ29" s="15"/>
    </row>
    <row r="30" spans="2:39" ht="1.5" customHeight="1" x14ac:dyDescent="0.25">
      <c r="B30" s="12"/>
      <c r="C30" s="12"/>
      <c r="D30" s="12"/>
      <c r="E30" s="12"/>
      <c r="F30" s="12"/>
      <c r="G30" s="12"/>
      <c r="H30" s="12"/>
      <c r="I30" s="12"/>
      <c r="J30" s="12"/>
      <c r="K30" s="12"/>
      <c r="L30" s="12"/>
      <c r="M30" s="12"/>
      <c r="N30" s="12"/>
      <c r="O30" s="12"/>
      <c r="P30" s="12"/>
    </row>
    <row r="31" spans="2:39" ht="74.25" customHeight="1" x14ac:dyDescent="0.25">
      <c r="B31" s="12"/>
      <c r="C31" s="12"/>
      <c r="D31" s="12"/>
      <c r="E31" s="12"/>
      <c r="F31" s="12"/>
      <c r="G31" s="12"/>
      <c r="H31" s="12"/>
      <c r="I31" s="12"/>
      <c r="J31" s="12"/>
      <c r="K31" s="12"/>
      <c r="L31" s="12"/>
      <c r="M31" s="12"/>
      <c r="N31" s="12"/>
      <c r="O31" s="12"/>
      <c r="P31" s="12"/>
    </row>
    <row r="32" spans="2:39" ht="18" customHeight="1" x14ac:dyDescent="0.25">
      <c r="B32" s="160" t="s">
        <v>0</v>
      </c>
      <c r="C32" s="249" t="s">
        <v>9</v>
      </c>
      <c r="D32" s="250"/>
      <c r="E32" s="251">
        <f>E2</f>
        <v>1594</v>
      </c>
      <c r="F32" s="252"/>
      <c r="G32" s="252"/>
      <c r="H32" s="252"/>
      <c r="I32" s="252"/>
      <c r="J32" s="252"/>
      <c r="K32" s="252"/>
      <c r="L32" s="252"/>
      <c r="M32" s="252"/>
      <c r="N32" s="252"/>
      <c r="O32" s="252"/>
      <c r="P32" s="252"/>
      <c r="Q32" s="252"/>
      <c r="R32" s="252"/>
      <c r="S32" s="252"/>
      <c r="T32" s="252"/>
      <c r="U32" s="252"/>
      <c r="V32" s="252"/>
      <c r="W32" s="252"/>
      <c r="X32" s="252"/>
      <c r="Y32" s="252"/>
      <c r="Z32" s="253" t="s">
        <v>10</v>
      </c>
      <c r="AA32" s="254"/>
      <c r="AB32" s="259" t="s">
        <v>11</v>
      </c>
      <c r="AC32" s="260"/>
      <c r="AD32" s="261"/>
      <c r="AE32" s="288" t="s">
        <v>12</v>
      </c>
      <c r="AF32" s="289"/>
    </row>
    <row r="33" spans="2:32" ht="18" customHeight="1" x14ac:dyDescent="0.25">
      <c r="B33" s="178">
        <f ca="1">B3</f>
        <v>44621</v>
      </c>
      <c r="C33" s="274" t="s">
        <v>13</v>
      </c>
      <c r="D33" s="274"/>
      <c r="E33" s="274"/>
      <c r="F33" s="274"/>
      <c r="G33" s="274"/>
      <c r="H33" s="274"/>
      <c r="I33" s="274"/>
      <c r="J33" s="274"/>
      <c r="K33" s="274"/>
      <c r="L33" s="275">
        <f>L3</f>
        <v>0</v>
      </c>
      <c r="M33" s="275"/>
      <c r="N33" s="275"/>
      <c r="O33" s="275"/>
      <c r="P33" s="275"/>
      <c r="Q33" s="275"/>
      <c r="R33" s="275"/>
      <c r="S33" s="275"/>
      <c r="T33" s="275"/>
      <c r="U33" s="275"/>
      <c r="V33" s="275"/>
      <c r="W33" s="275"/>
      <c r="X33" s="275"/>
      <c r="Y33" s="275"/>
      <c r="Z33" s="255"/>
      <c r="AA33" s="256"/>
      <c r="AB33" s="262"/>
      <c r="AC33" s="263"/>
      <c r="AD33" s="264"/>
      <c r="AE33" s="290"/>
      <c r="AF33" s="291"/>
    </row>
    <row r="34" spans="2:32" ht="18" customHeight="1" x14ac:dyDescent="0.25">
      <c r="B34" s="159" t="s">
        <v>14</v>
      </c>
      <c r="C34" s="276" t="s">
        <v>15</v>
      </c>
      <c r="D34" s="277"/>
      <c r="E34" s="277"/>
      <c r="F34" s="278"/>
      <c r="G34" s="278">
        <f>F4</f>
        <v>0</v>
      </c>
      <c r="H34" s="278"/>
      <c r="I34" s="278"/>
      <c r="J34" s="278"/>
      <c r="K34" s="278"/>
      <c r="L34" s="278"/>
      <c r="M34" s="278"/>
      <c r="N34" s="278"/>
      <c r="O34" s="278"/>
      <c r="P34" s="278"/>
      <c r="Q34" s="278"/>
      <c r="R34" s="278"/>
      <c r="S34" s="278"/>
      <c r="T34" s="278"/>
      <c r="U34" s="278"/>
      <c r="V34" s="278"/>
      <c r="W34" s="278"/>
      <c r="X34" s="278"/>
      <c r="Y34" s="279"/>
      <c r="Z34" s="257"/>
      <c r="AA34" s="258"/>
      <c r="AB34" s="265"/>
      <c r="AC34" s="266"/>
      <c r="AD34" s="267"/>
      <c r="AE34" s="292"/>
      <c r="AF34" s="293"/>
    </row>
    <row r="35" spans="2:32" ht="18.75" customHeight="1" x14ac:dyDescent="0.25">
      <c r="B35" s="321" t="str">
        <f>_xlfn.CONCAT("2"," ","of"," ",IF(ISBLANK('Eid List Entry'!C14),1,
IF(ISBLANK('Eid List Entry'!C34),2,
IF(ISBLANK('Eid List Entry'!C54),3,
IF(ISBLANK('Eid List Entry'!C74),4,
IF(ISBLANK('Eid List Entry'!C94),5,
IF(ISBLANK('Eid List Entry'!C114),6,
IF(ISBLANK('Eid List Entry'!C134),7,
IF(ISBLANK('Eid List Entry'!C154),8,
IF(ISBLANK('Eid List Entry'!C174),9,
IF(ISBLANK('Eid List Entry'!C194),10,
IF(ISBLANK('Eid List Entry'!C214),11,
IF(ISBLANK('Eid List Entry'!C234),12,
IF(ISBLANK('Eid List Entry'!C254),13))))))))))))))</f>
        <v>2 of 1</v>
      </c>
      <c r="C35" s="280"/>
      <c r="D35" s="281"/>
      <c r="E35" s="281"/>
      <c r="F35" s="281"/>
      <c r="G35" s="281"/>
      <c r="H35" s="281"/>
      <c r="I35" s="281"/>
      <c r="J35" s="281"/>
      <c r="K35" s="281"/>
      <c r="L35" s="281"/>
      <c r="M35" s="281"/>
      <c r="N35" s="281"/>
      <c r="O35" s="281"/>
      <c r="P35" s="281"/>
      <c r="Q35" s="281"/>
      <c r="R35" s="281"/>
      <c r="S35" s="281"/>
      <c r="T35" s="281"/>
      <c r="U35" s="281"/>
      <c r="V35" s="281"/>
      <c r="W35" s="281"/>
      <c r="X35" s="281"/>
      <c r="Y35" s="282"/>
      <c r="Z35" s="286" t="s">
        <v>7</v>
      </c>
      <c r="AA35" s="234" t="s">
        <v>1</v>
      </c>
      <c r="AB35" s="236" t="s">
        <v>21</v>
      </c>
      <c r="AC35" s="237"/>
      <c r="AD35" s="232"/>
      <c r="AE35" s="236" t="s">
        <v>39</v>
      </c>
      <c r="AF35" s="232"/>
    </row>
    <row r="36" spans="2:32" ht="17.25" customHeight="1" x14ac:dyDescent="0.25">
      <c r="B36" s="321"/>
      <c r="C36" s="283"/>
      <c r="D36" s="284"/>
      <c r="E36" s="284"/>
      <c r="F36" s="284"/>
      <c r="G36" s="284"/>
      <c r="H36" s="284"/>
      <c r="I36" s="284"/>
      <c r="J36" s="284"/>
      <c r="K36" s="284"/>
      <c r="L36" s="284"/>
      <c r="M36" s="284"/>
      <c r="N36" s="284"/>
      <c r="O36" s="284"/>
      <c r="P36" s="284"/>
      <c r="Q36" s="284"/>
      <c r="R36" s="284"/>
      <c r="S36" s="284"/>
      <c r="T36" s="284"/>
      <c r="U36" s="284"/>
      <c r="V36" s="284"/>
      <c r="W36" s="284"/>
      <c r="X36" s="284"/>
      <c r="Y36" s="285"/>
      <c r="Z36" s="234"/>
      <c r="AA36" s="234"/>
      <c r="AB36" s="238"/>
      <c r="AC36" s="239"/>
      <c r="AD36" s="233"/>
      <c r="AE36" s="238"/>
      <c r="AF36" s="233"/>
    </row>
    <row r="37" spans="2:32" ht="17.25" customHeight="1" x14ac:dyDescent="0.25">
      <c r="B37" s="322"/>
      <c r="C37" s="287" t="s">
        <v>3</v>
      </c>
      <c r="D37" s="224"/>
      <c r="E37" s="224"/>
      <c r="F37" s="224"/>
      <c r="G37" s="287">
        <f>G7</f>
        <v>0</v>
      </c>
      <c r="H37" s="224"/>
      <c r="I37" s="224"/>
      <c r="J37" s="224"/>
      <c r="K37" s="224"/>
      <c r="L37" s="77"/>
      <c r="M37" s="77"/>
      <c r="N37" s="77"/>
      <c r="O37" s="77"/>
      <c r="P37" s="77"/>
      <c r="Q37" s="77"/>
      <c r="R37" s="77"/>
      <c r="S37" s="77"/>
      <c r="T37" s="77"/>
      <c r="U37" s="77"/>
      <c r="V37" s="77"/>
      <c r="W37" s="77"/>
      <c r="X37" s="77"/>
      <c r="Y37" s="77"/>
      <c r="Z37" s="234"/>
      <c r="AA37" s="235"/>
      <c r="AB37" s="240"/>
      <c r="AC37" s="241"/>
      <c r="AD37" s="242"/>
      <c r="AE37" s="238"/>
      <c r="AF37" s="233"/>
    </row>
    <row r="38" spans="2:32" ht="36.75" customHeight="1" x14ac:dyDescent="0.25">
      <c r="B38" s="68" t="s">
        <v>2</v>
      </c>
      <c r="C38" s="244" t="str">
        <f>C8</f>
        <v>Lockout Point</v>
      </c>
      <c r="D38" s="244"/>
      <c r="E38" s="244"/>
      <c r="F38" s="244"/>
      <c r="G38" s="244"/>
      <c r="H38" s="244"/>
      <c r="I38" s="244"/>
      <c r="J38" s="244"/>
      <c r="K38" s="244"/>
      <c r="L38" s="244"/>
      <c r="M38" s="244"/>
      <c r="N38" s="244"/>
      <c r="O38" s="244"/>
      <c r="P38" s="244"/>
      <c r="Q38" s="244"/>
      <c r="R38" s="244"/>
      <c r="S38" s="244"/>
      <c r="T38" s="244"/>
      <c r="U38" s="244"/>
      <c r="V38" s="244"/>
      <c r="W38" s="244"/>
      <c r="X38" s="244"/>
      <c r="Y38" s="80" t="s">
        <v>28</v>
      </c>
      <c r="Z38" s="235"/>
      <c r="AA38" s="79" t="s">
        <v>73</v>
      </c>
      <c r="AB38" s="79" t="s">
        <v>73</v>
      </c>
      <c r="AC38" s="245" t="s">
        <v>73</v>
      </c>
      <c r="AD38" s="246"/>
      <c r="AE38" s="240"/>
      <c r="AF38" s="242"/>
    </row>
    <row r="39" spans="2:32" ht="15" customHeight="1" x14ac:dyDescent="0.25">
      <c r="B39" s="78" t="str">
        <f>'Eid List Entry'!B14</f>
        <v xml:space="preserve"> </v>
      </c>
      <c r="C39" s="215">
        <f>'Eid List Entry'!C14</f>
        <v>0</v>
      </c>
      <c r="D39" s="216"/>
      <c r="E39" s="216"/>
      <c r="F39" s="216"/>
      <c r="G39" s="216"/>
      <c r="H39" s="216"/>
      <c r="I39" s="216"/>
      <c r="J39" s="216"/>
      <c r="K39" s="216"/>
      <c r="L39" s="216"/>
      <c r="M39" s="216"/>
      <c r="N39" s="216"/>
      <c r="O39" s="216"/>
      <c r="P39" s="216"/>
      <c r="Q39" s="216"/>
      <c r="R39" s="216"/>
      <c r="S39" s="216"/>
      <c r="T39" s="216"/>
      <c r="U39" s="216"/>
      <c r="V39" s="216"/>
      <c r="W39" s="216"/>
      <c r="X39" s="216"/>
      <c r="Y39" s="21">
        <f>'Eid List Entry'!E14</f>
        <v>0</v>
      </c>
      <c r="Z39" s="104">
        <f>'Eid List Entry'!D14</f>
        <v>0</v>
      </c>
      <c r="AA39" s="73"/>
      <c r="AB39" s="76"/>
      <c r="AC39" s="217"/>
      <c r="AD39" s="218"/>
      <c r="AE39" s="224"/>
      <c r="AF39" s="225"/>
    </row>
    <row r="40" spans="2:32" ht="15" customHeight="1" x14ac:dyDescent="0.25">
      <c r="B40" s="78" t="str">
        <f>'Eid List Entry'!B15</f>
        <v xml:space="preserve"> </v>
      </c>
      <c r="C40" s="215">
        <f>'Eid List Entry'!C15</f>
        <v>0</v>
      </c>
      <c r="D40" s="216"/>
      <c r="E40" s="216"/>
      <c r="F40" s="216"/>
      <c r="G40" s="216"/>
      <c r="H40" s="216"/>
      <c r="I40" s="216"/>
      <c r="J40" s="216"/>
      <c r="K40" s="216"/>
      <c r="L40" s="216"/>
      <c r="M40" s="216"/>
      <c r="N40" s="216"/>
      <c r="O40" s="216"/>
      <c r="P40" s="216"/>
      <c r="Q40" s="216"/>
      <c r="R40" s="216"/>
      <c r="S40" s="216"/>
      <c r="T40" s="216"/>
      <c r="U40" s="216"/>
      <c r="V40" s="216"/>
      <c r="W40" s="216"/>
      <c r="X40" s="216"/>
      <c r="Y40" s="21">
        <f>'Eid List Entry'!E15</f>
        <v>0</v>
      </c>
      <c r="Z40" s="104">
        <f>'Eid List Entry'!D15</f>
        <v>0</v>
      </c>
      <c r="AA40" s="73"/>
      <c r="AB40" s="76"/>
      <c r="AC40" s="217"/>
      <c r="AD40" s="218"/>
      <c r="AE40" s="219"/>
      <c r="AF40" s="218"/>
    </row>
    <row r="41" spans="2:32" ht="15" customHeight="1" x14ac:dyDescent="0.25">
      <c r="B41" s="78" t="str">
        <f>'Eid List Entry'!B16</f>
        <v xml:space="preserve"> </v>
      </c>
      <c r="C41" s="215">
        <f>'Eid List Entry'!C16</f>
        <v>0</v>
      </c>
      <c r="D41" s="216"/>
      <c r="E41" s="216"/>
      <c r="F41" s="216"/>
      <c r="G41" s="216"/>
      <c r="H41" s="216"/>
      <c r="I41" s="216"/>
      <c r="J41" s="216"/>
      <c r="K41" s="216"/>
      <c r="L41" s="216"/>
      <c r="M41" s="216"/>
      <c r="N41" s="216"/>
      <c r="O41" s="216"/>
      <c r="P41" s="216"/>
      <c r="Q41" s="216"/>
      <c r="R41" s="216"/>
      <c r="S41" s="216"/>
      <c r="T41" s="216"/>
      <c r="U41" s="216"/>
      <c r="V41" s="216"/>
      <c r="W41" s="216"/>
      <c r="X41" s="216"/>
      <c r="Y41" s="21">
        <f>'Eid List Entry'!E16</f>
        <v>0</v>
      </c>
      <c r="Z41" s="104">
        <f>'Eid List Entry'!D16</f>
        <v>0</v>
      </c>
      <c r="AA41" s="73"/>
      <c r="AB41" s="76"/>
      <c r="AC41" s="217"/>
      <c r="AD41" s="218"/>
      <c r="AE41" s="219"/>
      <c r="AF41" s="218"/>
    </row>
    <row r="42" spans="2:32" ht="15" customHeight="1" x14ac:dyDescent="0.25">
      <c r="B42" s="78" t="str">
        <f>'Eid List Entry'!B17</f>
        <v xml:space="preserve"> </v>
      </c>
      <c r="C42" s="215">
        <f>'Eid List Entry'!C17</f>
        <v>0</v>
      </c>
      <c r="D42" s="216"/>
      <c r="E42" s="216"/>
      <c r="F42" s="216"/>
      <c r="G42" s="216"/>
      <c r="H42" s="216"/>
      <c r="I42" s="216"/>
      <c r="J42" s="216"/>
      <c r="K42" s="216"/>
      <c r="L42" s="216"/>
      <c r="M42" s="216"/>
      <c r="N42" s="216"/>
      <c r="O42" s="216"/>
      <c r="P42" s="216"/>
      <c r="Q42" s="216"/>
      <c r="R42" s="216"/>
      <c r="S42" s="216"/>
      <c r="T42" s="216"/>
      <c r="U42" s="216"/>
      <c r="V42" s="216"/>
      <c r="W42" s="216"/>
      <c r="X42" s="216"/>
      <c r="Y42" s="21">
        <f>'Eid List Entry'!E17</f>
        <v>0</v>
      </c>
      <c r="Z42" s="104">
        <f>'Eid List Entry'!D17</f>
        <v>0</v>
      </c>
      <c r="AA42" s="73"/>
      <c r="AB42" s="76"/>
      <c r="AC42" s="217"/>
      <c r="AD42" s="218"/>
      <c r="AE42" s="219"/>
      <c r="AF42" s="218"/>
    </row>
    <row r="43" spans="2:32" ht="15" customHeight="1" x14ac:dyDescent="0.25">
      <c r="B43" s="78" t="str">
        <f>'Eid List Entry'!B18</f>
        <v xml:space="preserve"> </v>
      </c>
      <c r="C43" s="215">
        <f>'Eid List Entry'!C18</f>
        <v>0</v>
      </c>
      <c r="D43" s="216"/>
      <c r="E43" s="216"/>
      <c r="F43" s="216"/>
      <c r="G43" s="216"/>
      <c r="H43" s="216"/>
      <c r="I43" s="216"/>
      <c r="J43" s="216"/>
      <c r="K43" s="216"/>
      <c r="L43" s="216"/>
      <c r="M43" s="216"/>
      <c r="N43" s="216"/>
      <c r="O43" s="216"/>
      <c r="P43" s="216"/>
      <c r="Q43" s="216"/>
      <c r="R43" s="216"/>
      <c r="S43" s="216"/>
      <c r="T43" s="216"/>
      <c r="U43" s="216"/>
      <c r="V43" s="216"/>
      <c r="W43" s="216"/>
      <c r="X43" s="216"/>
      <c r="Y43" s="21">
        <f>'Eid List Entry'!E18</f>
        <v>0</v>
      </c>
      <c r="Z43" s="104">
        <f>'Eid List Entry'!D18</f>
        <v>0</v>
      </c>
      <c r="AA43" s="73"/>
      <c r="AB43" s="76"/>
      <c r="AC43" s="217"/>
      <c r="AD43" s="218"/>
      <c r="AE43" s="219"/>
      <c r="AF43" s="218"/>
    </row>
    <row r="44" spans="2:32" ht="15" customHeight="1" x14ac:dyDescent="0.25">
      <c r="B44" s="78" t="str">
        <f>'Eid List Entry'!B19</f>
        <v xml:space="preserve"> </v>
      </c>
      <c r="C44" s="215">
        <f>'Eid List Entry'!C19</f>
        <v>0</v>
      </c>
      <c r="D44" s="216"/>
      <c r="E44" s="216"/>
      <c r="F44" s="216"/>
      <c r="G44" s="216"/>
      <c r="H44" s="216"/>
      <c r="I44" s="216"/>
      <c r="J44" s="216"/>
      <c r="K44" s="216"/>
      <c r="L44" s="216"/>
      <c r="M44" s="216"/>
      <c r="N44" s="216"/>
      <c r="O44" s="216"/>
      <c r="P44" s="216"/>
      <c r="Q44" s="216"/>
      <c r="R44" s="216"/>
      <c r="S44" s="216"/>
      <c r="T44" s="216"/>
      <c r="U44" s="216"/>
      <c r="V44" s="216"/>
      <c r="W44" s="216"/>
      <c r="X44" s="216"/>
      <c r="Y44" s="21">
        <f>'Eid List Entry'!E19</f>
        <v>0</v>
      </c>
      <c r="Z44" s="104">
        <f>'Eid List Entry'!D19</f>
        <v>0</v>
      </c>
      <c r="AA44" s="73"/>
      <c r="AB44" s="76"/>
      <c r="AC44" s="217"/>
      <c r="AD44" s="218"/>
      <c r="AE44" s="219"/>
      <c r="AF44" s="218"/>
    </row>
    <row r="45" spans="2:32" ht="15" customHeight="1" x14ac:dyDescent="0.25">
      <c r="B45" s="78" t="str">
        <f>'Eid List Entry'!B20</f>
        <v xml:space="preserve"> </v>
      </c>
      <c r="C45" s="215">
        <f>'Eid List Entry'!C20</f>
        <v>0</v>
      </c>
      <c r="D45" s="216"/>
      <c r="E45" s="216"/>
      <c r="F45" s="216"/>
      <c r="G45" s="216"/>
      <c r="H45" s="216"/>
      <c r="I45" s="216"/>
      <c r="J45" s="216"/>
      <c r="K45" s="216"/>
      <c r="L45" s="216"/>
      <c r="M45" s="216"/>
      <c r="N45" s="216"/>
      <c r="O45" s="216"/>
      <c r="P45" s="216"/>
      <c r="Q45" s="216"/>
      <c r="R45" s="216"/>
      <c r="S45" s="216"/>
      <c r="T45" s="216"/>
      <c r="U45" s="216"/>
      <c r="V45" s="216"/>
      <c r="W45" s="216"/>
      <c r="X45" s="216"/>
      <c r="Y45" s="21">
        <f>'Eid List Entry'!E20</f>
        <v>0</v>
      </c>
      <c r="Z45" s="104">
        <f>'Eid List Entry'!D20</f>
        <v>0</v>
      </c>
      <c r="AA45" s="73"/>
      <c r="AB45" s="76"/>
      <c r="AC45" s="217"/>
      <c r="AD45" s="218"/>
      <c r="AE45" s="219"/>
      <c r="AF45" s="218"/>
    </row>
    <row r="46" spans="2:32" ht="15" customHeight="1" x14ac:dyDescent="0.25">
      <c r="B46" s="78" t="str">
        <f>'Eid List Entry'!B21</f>
        <v xml:space="preserve"> </v>
      </c>
      <c r="C46" s="215">
        <f>'Eid List Entry'!C21</f>
        <v>0</v>
      </c>
      <c r="D46" s="216"/>
      <c r="E46" s="216"/>
      <c r="F46" s="216"/>
      <c r="G46" s="216"/>
      <c r="H46" s="216"/>
      <c r="I46" s="216"/>
      <c r="J46" s="216"/>
      <c r="K46" s="216"/>
      <c r="L46" s="216"/>
      <c r="M46" s="216"/>
      <c r="N46" s="216"/>
      <c r="O46" s="216"/>
      <c r="P46" s="216"/>
      <c r="Q46" s="216"/>
      <c r="R46" s="216"/>
      <c r="S46" s="216"/>
      <c r="T46" s="216"/>
      <c r="U46" s="216"/>
      <c r="V46" s="216"/>
      <c r="W46" s="216"/>
      <c r="X46" s="216"/>
      <c r="Y46" s="21">
        <f>'Eid List Entry'!E21</f>
        <v>0</v>
      </c>
      <c r="Z46" s="104">
        <f>'Eid List Entry'!D21</f>
        <v>0</v>
      </c>
      <c r="AA46" s="73"/>
      <c r="AB46" s="76"/>
      <c r="AC46" s="217"/>
      <c r="AD46" s="218"/>
      <c r="AE46" s="219"/>
      <c r="AF46" s="218"/>
    </row>
    <row r="47" spans="2:32" ht="15" customHeight="1" x14ac:dyDescent="0.25">
      <c r="B47" s="78" t="str">
        <f>'Eid List Entry'!B22</f>
        <v xml:space="preserve"> </v>
      </c>
      <c r="C47" s="215">
        <f>'Eid List Entry'!C22</f>
        <v>0</v>
      </c>
      <c r="D47" s="216"/>
      <c r="E47" s="216"/>
      <c r="F47" s="216"/>
      <c r="G47" s="216"/>
      <c r="H47" s="216"/>
      <c r="I47" s="216"/>
      <c r="J47" s="216"/>
      <c r="K47" s="216"/>
      <c r="L47" s="216"/>
      <c r="M47" s="216"/>
      <c r="N47" s="216"/>
      <c r="O47" s="216"/>
      <c r="P47" s="216"/>
      <c r="Q47" s="216"/>
      <c r="R47" s="216"/>
      <c r="S47" s="216"/>
      <c r="T47" s="216"/>
      <c r="U47" s="216"/>
      <c r="V47" s="216"/>
      <c r="W47" s="216"/>
      <c r="X47" s="216"/>
      <c r="Y47" s="21">
        <f>'Eid List Entry'!E22</f>
        <v>0</v>
      </c>
      <c r="Z47" s="104">
        <f>'Eid List Entry'!D22</f>
        <v>0</v>
      </c>
      <c r="AA47" s="73"/>
      <c r="AB47" s="76"/>
      <c r="AC47" s="217"/>
      <c r="AD47" s="218"/>
      <c r="AE47" s="219"/>
      <c r="AF47" s="218"/>
    </row>
    <row r="48" spans="2:32" ht="15" customHeight="1" x14ac:dyDescent="0.25">
      <c r="B48" s="78" t="str">
        <f>'Eid List Entry'!B23</f>
        <v xml:space="preserve"> </v>
      </c>
      <c r="C48" s="215">
        <f>'Eid List Entry'!C23</f>
        <v>0</v>
      </c>
      <c r="D48" s="216"/>
      <c r="E48" s="216"/>
      <c r="F48" s="216"/>
      <c r="G48" s="216"/>
      <c r="H48" s="216"/>
      <c r="I48" s="216"/>
      <c r="J48" s="216"/>
      <c r="K48" s="216"/>
      <c r="L48" s="216"/>
      <c r="M48" s="216"/>
      <c r="N48" s="216"/>
      <c r="O48" s="216"/>
      <c r="P48" s="216"/>
      <c r="Q48" s="216"/>
      <c r="R48" s="216"/>
      <c r="S48" s="216"/>
      <c r="T48" s="216"/>
      <c r="U48" s="216"/>
      <c r="V48" s="216"/>
      <c r="W48" s="216"/>
      <c r="X48" s="216"/>
      <c r="Y48" s="21">
        <f>'Eid List Entry'!E23</f>
        <v>0</v>
      </c>
      <c r="Z48" s="104">
        <f>'Eid List Entry'!D23</f>
        <v>0</v>
      </c>
      <c r="AA48" s="73"/>
      <c r="AB48" s="76"/>
      <c r="AC48" s="217"/>
      <c r="AD48" s="218"/>
      <c r="AE48" s="219"/>
      <c r="AF48" s="218"/>
    </row>
    <row r="49" spans="2:41" ht="15" customHeight="1" x14ac:dyDescent="0.25">
      <c r="B49" s="78" t="str">
        <f>'Eid List Entry'!B24</f>
        <v xml:space="preserve"> </v>
      </c>
      <c r="C49" s="215">
        <f>'Eid List Entry'!C24</f>
        <v>0</v>
      </c>
      <c r="D49" s="216"/>
      <c r="E49" s="216"/>
      <c r="F49" s="216"/>
      <c r="G49" s="216"/>
      <c r="H49" s="216"/>
      <c r="I49" s="216"/>
      <c r="J49" s="216"/>
      <c r="K49" s="216"/>
      <c r="L49" s="216"/>
      <c r="M49" s="216"/>
      <c r="N49" s="216"/>
      <c r="O49" s="216"/>
      <c r="P49" s="216"/>
      <c r="Q49" s="216"/>
      <c r="R49" s="216"/>
      <c r="S49" s="216"/>
      <c r="T49" s="216"/>
      <c r="U49" s="216"/>
      <c r="V49" s="216"/>
      <c r="W49" s="216"/>
      <c r="X49" s="216"/>
      <c r="Y49" s="21">
        <f>'Eid List Entry'!E24</f>
        <v>0</v>
      </c>
      <c r="Z49" s="104">
        <f>'Eid List Entry'!D24</f>
        <v>0</v>
      </c>
      <c r="AA49" s="73"/>
      <c r="AB49" s="76"/>
      <c r="AC49" s="217"/>
      <c r="AD49" s="218"/>
      <c r="AE49" s="219"/>
      <c r="AF49" s="218"/>
    </row>
    <row r="50" spans="2:41" ht="15" customHeight="1" x14ac:dyDescent="0.25">
      <c r="B50" s="78" t="str">
        <f>'Eid List Entry'!B25</f>
        <v xml:space="preserve"> </v>
      </c>
      <c r="C50" s="215">
        <f>'Eid List Entry'!C25</f>
        <v>0</v>
      </c>
      <c r="D50" s="216"/>
      <c r="E50" s="216"/>
      <c r="F50" s="216"/>
      <c r="G50" s="216"/>
      <c r="H50" s="216"/>
      <c r="I50" s="216"/>
      <c r="J50" s="216"/>
      <c r="K50" s="216"/>
      <c r="L50" s="216"/>
      <c r="M50" s="216"/>
      <c r="N50" s="216"/>
      <c r="O50" s="216"/>
      <c r="P50" s="216"/>
      <c r="Q50" s="216"/>
      <c r="R50" s="216"/>
      <c r="S50" s="216"/>
      <c r="T50" s="216"/>
      <c r="U50" s="216"/>
      <c r="V50" s="216"/>
      <c r="W50" s="216"/>
      <c r="X50" s="216"/>
      <c r="Y50" s="21">
        <f>'Eid List Entry'!E25</f>
        <v>0</v>
      </c>
      <c r="Z50" s="104">
        <f>'Eid List Entry'!D25</f>
        <v>0</v>
      </c>
      <c r="AA50" s="81"/>
      <c r="AB50" s="82"/>
      <c r="AC50" s="220"/>
      <c r="AD50" s="221"/>
      <c r="AE50" s="222"/>
      <c r="AF50" s="223"/>
    </row>
    <row r="51" spans="2:41" ht="15" customHeight="1" x14ac:dyDescent="0.25">
      <c r="B51" s="78" t="str">
        <f>'Eid List Entry'!B26</f>
        <v xml:space="preserve"> </v>
      </c>
      <c r="C51" s="215">
        <f>'Eid List Entry'!C26</f>
        <v>0</v>
      </c>
      <c r="D51" s="216"/>
      <c r="E51" s="216"/>
      <c r="F51" s="216"/>
      <c r="G51" s="216"/>
      <c r="H51" s="216"/>
      <c r="I51" s="216"/>
      <c r="J51" s="216"/>
      <c r="K51" s="216"/>
      <c r="L51" s="216"/>
      <c r="M51" s="216"/>
      <c r="N51" s="216"/>
      <c r="O51" s="216"/>
      <c r="P51" s="216"/>
      <c r="Q51" s="216"/>
      <c r="R51" s="216"/>
      <c r="S51" s="216"/>
      <c r="T51" s="216"/>
      <c r="U51" s="216"/>
      <c r="V51" s="216"/>
      <c r="W51" s="216"/>
      <c r="X51" s="216"/>
      <c r="Y51" s="21">
        <f>'Eid List Entry'!E26</f>
        <v>0</v>
      </c>
      <c r="Z51" s="104">
        <f>'Eid List Entry'!D26</f>
        <v>0</v>
      </c>
      <c r="AA51" s="73"/>
      <c r="AB51" s="82"/>
      <c r="AC51" s="217"/>
      <c r="AD51" s="218"/>
      <c r="AE51" s="219"/>
      <c r="AF51" s="218"/>
    </row>
    <row r="52" spans="2:41" ht="15" customHeight="1" x14ac:dyDescent="0.25">
      <c r="B52" s="78" t="str">
        <f>'Eid List Entry'!B27</f>
        <v xml:space="preserve"> </v>
      </c>
      <c r="C52" s="215">
        <f>'Eid List Entry'!C27</f>
        <v>0</v>
      </c>
      <c r="D52" s="216"/>
      <c r="E52" s="216"/>
      <c r="F52" s="216"/>
      <c r="G52" s="216"/>
      <c r="H52" s="216"/>
      <c r="I52" s="216"/>
      <c r="J52" s="216"/>
      <c r="K52" s="216"/>
      <c r="L52" s="216"/>
      <c r="M52" s="216"/>
      <c r="N52" s="216"/>
      <c r="O52" s="216"/>
      <c r="P52" s="216"/>
      <c r="Q52" s="216"/>
      <c r="R52" s="216"/>
      <c r="S52" s="216"/>
      <c r="T52" s="216"/>
      <c r="U52" s="216"/>
      <c r="V52" s="216"/>
      <c r="W52" s="216"/>
      <c r="X52" s="216"/>
      <c r="Y52" s="21">
        <f>'Eid List Entry'!E27</f>
        <v>0</v>
      </c>
      <c r="Z52" s="104">
        <f>'Eid List Entry'!D27</f>
        <v>0</v>
      </c>
      <c r="AA52" s="73"/>
      <c r="AB52" s="76"/>
      <c r="AC52" s="217"/>
      <c r="AD52" s="218"/>
      <c r="AE52" s="219"/>
      <c r="AF52" s="218"/>
    </row>
    <row r="53" spans="2:41" ht="15" customHeight="1" x14ac:dyDescent="0.25">
      <c r="B53" s="78" t="str">
        <f>'Eid List Entry'!B28</f>
        <v xml:space="preserve"> </v>
      </c>
      <c r="C53" s="215">
        <f>'Eid List Entry'!C28</f>
        <v>0</v>
      </c>
      <c r="D53" s="216"/>
      <c r="E53" s="216"/>
      <c r="F53" s="216"/>
      <c r="G53" s="216"/>
      <c r="H53" s="216"/>
      <c r="I53" s="216"/>
      <c r="J53" s="216"/>
      <c r="K53" s="216"/>
      <c r="L53" s="216"/>
      <c r="M53" s="216"/>
      <c r="N53" s="216"/>
      <c r="O53" s="216"/>
      <c r="P53" s="216"/>
      <c r="Q53" s="216"/>
      <c r="R53" s="216"/>
      <c r="S53" s="216"/>
      <c r="T53" s="216"/>
      <c r="U53" s="216"/>
      <c r="V53" s="216"/>
      <c r="W53" s="216"/>
      <c r="X53" s="216"/>
      <c r="Y53" s="21">
        <f>'Eid List Entry'!E28</f>
        <v>0</v>
      </c>
      <c r="Z53" s="104">
        <f>'Eid List Entry'!D28</f>
        <v>0</v>
      </c>
      <c r="AA53" s="73"/>
      <c r="AB53" s="76"/>
      <c r="AC53" s="217"/>
      <c r="AD53" s="218"/>
      <c r="AE53" s="219"/>
      <c r="AF53" s="218"/>
    </row>
    <row r="54" spans="2:41" ht="15" customHeight="1" x14ac:dyDescent="0.25">
      <c r="B54" s="78" t="str">
        <f>'Eid List Entry'!B29</f>
        <v xml:space="preserve"> </v>
      </c>
      <c r="C54" s="215">
        <f>'Eid List Entry'!C29</f>
        <v>0</v>
      </c>
      <c r="D54" s="216"/>
      <c r="E54" s="216"/>
      <c r="F54" s="216"/>
      <c r="G54" s="216"/>
      <c r="H54" s="216"/>
      <c r="I54" s="216"/>
      <c r="J54" s="216"/>
      <c r="K54" s="216"/>
      <c r="L54" s="216"/>
      <c r="M54" s="216"/>
      <c r="N54" s="216"/>
      <c r="O54" s="216"/>
      <c r="P54" s="216"/>
      <c r="Q54" s="216"/>
      <c r="R54" s="216"/>
      <c r="S54" s="216"/>
      <c r="T54" s="216"/>
      <c r="U54" s="216"/>
      <c r="V54" s="216"/>
      <c r="W54" s="216"/>
      <c r="X54" s="216"/>
      <c r="Y54" s="21">
        <f>'Eid List Entry'!E29</f>
        <v>0</v>
      </c>
      <c r="Z54" s="104">
        <f>'Eid List Entry'!D29</f>
        <v>0</v>
      </c>
      <c r="AA54" s="73"/>
      <c r="AB54" s="76"/>
      <c r="AC54" s="217"/>
      <c r="AD54" s="218"/>
      <c r="AE54" s="219"/>
      <c r="AF54" s="218"/>
    </row>
    <row r="55" spans="2:41" ht="15" customHeight="1" x14ac:dyDescent="0.25">
      <c r="B55" s="78" t="str">
        <f>'Eid List Entry'!B30</f>
        <v xml:space="preserve"> </v>
      </c>
      <c r="C55" s="215">
        <f>'Eid List Entry'!C30</f>
        <v>0</v>
      </c>
      <c r="D55" s="216"/>
      <c r="E55" s="216"/>
      <c r="F55" s="216"/>
      <c r="G55" s="216"/>
      <c r="H55" s="216"/>
      <c r="I55" s="216"/>
      <c r="J55" s="216"/>
      <c r="K55" s="216"/>
      <c r="L55" s="216"/>
      <c r="M55" s="216"/>
      <c r="N55" s="216"/>
      <c r="O55" s="216"/>
      <c r="P55" s="216"/>
      <c r="Q55" s="216"/>
      <c r="R55" s="216"/>
      <c r="S55" s="216"/>
      <c r="T55" s="216"/>
      <c r="U55" s="216"/>
      <c r="V55" s="216"/>
      <c r="W55" s="216"/>
      <c r="X55" s="216"/>
      <c r="Y55" s="21">
        <f>'Eid List Entry'!E30</f>
        <v>0</v>
      </c>
      <c r="Z55" s="104">
        <f>'Eid List Entry'!D30</f>
        <v>0</v>
      </c>
      <c r="AA55" s="73"/>
      <c r="AB55" s="76"/>
      <c r="AC55" s="217"/>
      <c r="AD55" s="218"/>
      <c r="AE55" s="219"/>
      <c r="AF55" s="218"/>
    </row>
    <row r="56" spans="2:41" ht="15" customHeight="1" x14ac:dyDescent="0.25">
      <c r="B56" s="78" t="str">
        <f>'Eid List Entry'!B31</f>
        <v xml:space="preserve"> </v>
      </c>
      <c r="C56" s="215">
        <f>'Eid List Entry'!C31</f>
        <v>0</v>
      </c>
      <c r="D56" s="216"/>
      <c r="E56" s="216"/>
      <c r="F56" s="216"/>
      <c r="G56" s="216"/>
      <c r="H56" s="216"/>
      <c r="I56" s="216"/>
      <c r="J56" s="216"/>
      <c r="K56" s="216"/>
      <c r="L56" s="216"/>
      <c r="M56" s="216"/>
      <c r="N56" s="216"/>
      <c r="O56" s="216"/>
      <c r="P56" s="216"/>
      <c r="Q56" s="216"/>
      <c r="R56" s="216"/>
      <c r="S56" s="216"/>
      <c r="T56" s="216"/>
      <c r="U56" s="216"/>
      <c r="V56" s="216"/>
      <c r="W56" s="216"/>
      <c r="X56" s="216"/>
      <c r="Y56" s="21">
        <f>'Eid List Entry'!E31</f>
        <v>0</v>
      </c>
      <c r="Z56" s="104">
        <f>'Eid List Entry'!D31</f>
        <v>0</v>
      </c>
      <c r="AA56" s="73"/>
      <c r="AB56" s="76"/>
      <c r="AC56" s="217"/>
      <c r="AD56" s="218"/>
      <c r="AE56" s="219"/>
      <c r="AF56" s="218"/>
    </row>
    <row r="57" spans="2:41" ht="15" customHeight="1" x14ac:dyDescent="0.25">
      <c r="B57" s="78" t="str">
        <f>'Eid List Entry'!B32</f>
        <v xml:space="preserve"> </v>
      </c>
      <c r="C57" s="215">
        <f>'Eid List Entry'!C32</f>
        <v>0</v>
      </c>
      <c r="D57" s="216"/>
      <c r="E57" s="216"/>
      <c r="F57" s="216"/>
      <c r="G57" s="216"/>
      <c r="H57" s="216"/>
      <c r="I57" s="216"/>
      <c r="J57" s="216"/>
      <c r="K57" s="216"/>
      <c r="L57" s="216"/>
      <c r="M57" s="216"/>
      <c r="N57" s="216"/>
      <c r="O57" s="216"/>
      <c r="P57" s="216"/>
      <c r="Q57" s="216"/>
      <c r="R57" s="216"/>
      <c r="S57" s="216"/>
      <c r="T57" s="216"/>
      <c r="U57" s="216"/>
      <c r="V57" s="216"/>
      <c r="W57" s="216"/>
      <c r="X57" s="216"/>
      <c r="Y57" s="21">
        <f>'Eid List Entry'!E32</f>
        <v>0</v>
      </c>
      <c r="Z57" s="104">
        <f>'Eid List Entry'!D32</f>
        <v>0</v>
      </c>
      <c r="AA57" s="73"/>
      <c r="AB57" s="76"/>
      <c r="AC57" s="217"/>
      <c r="AD57" s="218"/>
      <c r="AE57" s="219"/>
      <c r="AF57" s="218"/>
    </row>
    <row r="58" spans="2:41" ht="15" customHeight="1" x14ac:dyDescent="0.25">
      <c r="B58" s="78" t="str">
        <f>'Eid List Entry'!B33</f>
        <v xml:space="preserve"> </v>
      </c>
      <c r="C58" s="215">
        <f>'Eid List Entry'!C33</f>
        <v>0</v>
      </c>
      <c r="D58" s="216"/>
      <c r="E58" s="216"/>
      <c r="F58" s="216"/>
      <c r="G58" s="216"/>
      <c r="H58" s="216"/>
      <c r="I58" s="216"/>
      <c r="J58" s="216"/>
      <c r="K58" s="216"/>
      <c r="L58" s="216"/>
      <c r="M58" s="216"/>
      <c r="N58" s="216"/>
      <c r="O58" s="216"/>
      <c r="P58" s="216"/>
      <c r="Q58" s="216"/>
      <c r="R58" s="216"/>
      <c r="S58" s="216"/>
      <c r="T58" s="216"/>
      <c r="U58" s="216"/>
      <c r="V58" s="216"/>
      <c r="W58" s="216"/>
      <c r="X58" s="216"/>
      <c r="Y58" s="21">
        <f>'Eid List Entry'!E33</f>
        <v>0</v>
      </c>
      <c r="Z58" s="104">
        <f>'Eid List Entry'!D33</f>
        <v>0</v>
      </c>
      <c r="AA58" s="73"/>
      <c r="AB58" s="76"/>
      <c r="AC58" s="217"/>
      <c r="AD58" s="218"/>
      <c r="AE58" s="219"/>
      <c r="AF58" s="218"/>
    </row>
    <row r="59" spans="2:41" ht="0.75" customHeight="1" x14ac:dyDescent="0.25">
      <c r="B59" s="23" t="s">
        <v>70</v>
      </c>
      <c r="C59" s="26" t="s">
        <v>70</v>
      </c>
      <c r="D59" s="26"/>
      <c r="E59" s="26"/>
      <c r="F59" s="26"/>
      <c r="G59" s="26"/>
      <c r="H59" s="26"/>
      <c r="I59" s="26"/>
      <c r="J59" s="26"/>
      <c r="K59" s="26"/>
      <c r="L59" s="26"/>
      <c r="M59" s="26"/>
      <c r="N59" s="26"/>
      <c r="O59" s="26"/>
      <c r="P59" s="26"/>
      <c r="Q59" s="26"/>
      <c r="R59" s="26"/>
      <c r="S59" s="26"/>
      <c r="T59" s="26"/>
      <c r="U59" s="26"/>
      <c r="V59" s="26"/>
      <c r="W59" s="26"/>
      <c r="X59" s="26"/>
      <c r="Y59" s="24" t="s">
        <v>70</v>
      </c>
      <c r="Z59" s="25" t="s">
        <v>70</v>
      </c>
      <c r="AA59" s="10"/>
      <c r="AB59" s="10"/>
      <c r="AC59" s="9"/>
      <c r="AD59" s="9"/>
      <c r="AE59" s="9"/>
      <c r="AF59" s="9"/>
      <c r="AG59" s="7"/>
      <c r="AH59" s="7"/>
      <c r="AO59" s="158" t="str">
        <f>_xlfn.CONCAT("13"," ","of"," ",IF(ISBLANK('Eid List Entry'!C38),1,
IF(ISBLANK('Eid List Entry'!C58),2,
IF(ISBLANK('Eid List Entry'!C78),3,
IF(ISBLANK('Eid List Entry'!C98),4,
IF(ISBLANK('Eid List Entry'!C118),5,
IF(ISBLANK('Eid List Entry'!C138),6,
IF(ISBLANK('Eid List Entry'!C158),7,
IF(ISBLANK('Eid List Entry'!C178),8,
IF(ISBLANK('Eid List Entry'!C198),9,
IF(ISBLANK('Eid List Entry'!C218),10,
IF(ISBLANK('Eid List Entry'!C238),11,
IF(ISBLANK('Eid List Entry'!C258),12,13)))))))))))))</f>
        <v>13 of 1</v>
      </c>
    </row>
    <row r="60" spans="2:41" ht="78" customHeight="1" x14ac:dyDescent="0.25">
      <c r="B60" s="12"/>
      <c r="C60" s="12"/>
      <c r="D60" s="12"/>
      <c r="E60" s="12"/>
      <c r="F60" s="12"/>
      <c r="G60" s="12"/>
      <c r="H60" s="12"/>
      <c r="I60" s="12"/>
      <c r="J60" s="12"/>
      <c r="K60" s="12"/>
      <c r="L60" s="12"/>
      <c r="M60" s="12"/>
      <c r="N60" s="12"/>
      <c r="O60" s="12"/>
      <c r="P60" s="12"/>
    </row>
    <row r="61" spans="2:41" ht="18" customHeight="1" x14ac:dyDescent="0.25">
      <c r="B61" s="160" t="s">
        <v>0</v>
      </c>
      <c r="C61" s="249" t="s">
        <v>9</v>
      </c>
      <c r="D61" s="250"/>
      <c r="E61" s="251">
        <f>E32</f>
        <v>1594</v>
      </c>
      <c r="F61" s="252"/>
      <c r="G61" s="252"/>
      <c r="H61" s="252"/>
      <c r="I61" s="252"/>
      <c r="J61" s="252"/>
      <c r="K61" s="252"/>
      <c r="L61" s="252"/>
      <c r="M61" s="252"/>
      <c r="N61" s="252"/>
      <c r="O61" s="252"/>
      <c r="P61" s="252"/>
      <c r="Q61" s="252"/>
      <c r="R61" s="252"/>
      <c r="S61" s="252"/>
      <c r="T61" s="252"/>
      <c r="U61" s="252"/>
      <c r="V61" s="252"/>
      <c r="W61" s="252"/>
      <c r="X61" s="252"/>
      <c r="Y61" s="252"/>
      <c r="Z61" s="253" t="s">
        <v>10</v>
      </c>
      <c r="AA61" s="254"/>
      <c r="AB61" s="259" t="s">
        <v>11</v>
      </c>
      <c r="AC61" s="260"/>
      <c r="AD61" s="261"/>
      <c r="AE61" s="268" t="s">
        <v>12</v>
      </c>
      <c r="AF61" s="269"/>
    </row>
    <row r="62" spans="2:41" ht="18" customHeight="1" x14ac:dyDescent="0.25">
      <c r="B62" s="161">
        <f ca="1">B33</f>
        <v>44621</v>
      </c>
      <c r="C62" s="274" t="s">
        <v>13</v>
      </c>
      <c r="D62" s="274"/>
      <c r="E62" s="274"/>
      <c r="F62" s="274"/>
      <c r="G62" s="274"/>
      <c r="H62" s="274"/>
      <c r="I62" s="274"/>
      <c r="J62" s="274"/>
      <c r="K62" s="274"/>
      <c r="L62" s="275">
        <f>L33</f>
        <v>0</v>
      </c>
      <c r="M62" s="275"/>
      <c r="N62" s="275"/>
      <c r="O62" s="275"/>
      <c r="P62" s="275"/>
      <c r="Q62" s="275"/>
      <c r="R62" s="275"/>
      <c r="S62" s="275"/>
      <c r="T62" s="275"/>
      <c r="U62" s="275"/>
      <c r="V62" s="275"/>
      <c r="W62" s="275"/>
      <c r="X62" s="275"/>
      <c r="Y62" s="275"/>
      <c r="Z62" s="255"/>
      <c r="AA62" s="256"/>
      <c r="AB62" s="262"/>
      <c r="AC62" s="263"/>
      <c r="AD62" s="264"/>
      <c r="AE62" s="270"/>
      <c r="AF62" s="271"/>
    </row>
    <row r="63" spans="2:41" ht="18" customHeight="1" x14ac:dyDescent="0.25">
      <c r="B63" s="159" t="s">
        <v>14</v>
      </c>
      <c r="C63" s="276" t="s">
        <v>15</v>
      </c>
      <c r="D63" s="277"/>
      <c r="E63" s="277"/>
      <c r="F63" s="278"/>
      <c r="G63" s="278">
        <f>G34</f>
        <v>0</v>
      </c>
      <c r="H63" s="278"/>
      <c r="I63" s="278"/>
      <c r="J63" s="278"/>
      <c r="K63" s="278"/>
      <c r="L63" s="278"/>
      <c r="M63" s="278"/>
      <c r="N63" s="278"/>
      <c r="O63" s="278"/>
      <c r="P63" s="278"/>
      <c r="Q63" s="278"/>
      <c r="R63" s="278"/>
      <c r="S63" s="278"/>
      <c r="T63" s="278"/>
      <c r="U63" s="278"/>
      <c r="V63" s="278"/>
      <c r="W63" s="278"/>
      <c r="X63" s="278"/>
      <c r="Y63" s="279"/>
      <c r="Z63" s="257"/>
      <c r="AA63" s="258"/>
      <c r="AB63" s="265"/>
      <c r="AC63" s="266"/>
      <c r="AD63" s="267"/>
      <c r="AE63" s="272"/>
      <c r="AF63" s="273"/>
    </row>
    <row r="64" spans="2:41" ht="18.75" customHeight="1" x14ac:dyDescent="0.25">
      <c r="B64" s="321" t="str">
        <f>_xlfn.CONCAT("3"," ","of"," ",IF(ISBLANK('Eid List Entry'!C14),1,
IF(ISBLANK('Eid List Entry'!C34),2,
IF(ISBLANK('Eid List Entry'!C54),3,
IF(ISBLANK('Eid List Entry'!C74),4,
IF(ISBLANK('Eid List Entry'!C94),5,
IF(ISBLANK('Eid List Entry'!C114),6,
IF(ISBLANK('Eid List Entry'!C134),7,
IF(ISBLANK('Eid List Entry'!C154),8,
IF(ISBLANK('Eid List Entry'!C174),9,
IF(ISBLANK('Eid List Entry'!C194),10,
IF(ISBLANK('Eid List Entry'!C214),11,
IF(ISBLANK('Eid List Entry'!C234),12,
IF(ISBLANK('Eid List Entry'!C254),13))))))))))))))</f>
        <v>3 of 1</v>
      </c>
      <c r="C64" s="226"/>
      <c r="D64" s="227"/>
      <c r="E64" s="227"/>
      <c r="F64" s="227"/>
      <c r="G64" s="227"/>
      <c r="H64" s="227"/>
      <c r="I64" s="227"/>
      <c r="J64" s="227"/>
      <c r="K64" s="227"/>
      <c r="L64" s="227"/>
      <c r="M64" s="227"/>
      <c r="N64" s="227"/>
      <c r="O64" s="227"/>
      <c r="P64" s="227"/>
      <c r="Q64" s="227"/>
      <c r="R64" s="227"/>
      <c r="S64" s="227"/>
      <c r="T64" s="227"/>
      <c r="U64" s="227"/>
      <c r="V64" s="227"/>
      <c r="W64" s="227"/>
      <c r="X64" s="227"/>
      <c r="Y64" s="228"/>
      <c r="Z64" s="232" t="s">
        <v>7</v>
      </c>
      <c r="AA64" s="234" t="s">
        <v>1</v>
      </c>
      <c r="AB64" s="236" t="s">
        <v>21</v>
      </c>
      <c r="AC64" s="237"/>
      <c r="AD64" s="232"/>
      <c r="AE64" s="236" t="s">
        <v>39</v>
      </c>
      <c r="AF64" s="232"/>
    </row>
    <row r="65" spans="2:32" ht="17.25" customHeight="1" x14ac:dyDescent="0.25">
      <c r="B65" s="321"/>
      <c r="C65" s="229"/>
      <c r="D65" s="230"/>
      <c r="E65" s="230"/>
      <c r="F65" s="230"/>
      <c r="G65" s="230"/>
      <c r="H65" s="230"/>
      <c r="I65" s="230"/>
      <c r="J65" s="230"/>
      <c r="K65" s="230"/>
      <c r="L65" s="230"/>
      <c r="M65" s="230"/>
      <c r="N65" s="230"/>
      <c r="O65" s="230"/>
      <c r="P65" s="230"/>
      <c r="Q65" s="230"/>
      <c r="R65" s="230"/>
      <c r="S65" s="230"/>
      <c r="T65" s="230"/>
      <c r="U65" s="230"/>
      <c r="V65" s="230"/>
      <c r="W65" s="230"/>
      <c r="X65" s="230"/>
      <c r="Y65" s="231"/>
      <c r="Z65" s="233"/>
      <c r="AA65" s="234"/>
      <c r="AB65" s="238"/>
      <c r="AC65" s="239"/>
      <c r="AD65" s="233"/>
      <c r="AE65" s="238"/>
      <c r="AF65" s="233"/>
    </row>
    <row r="66" spans="2:32" ht="17.25" customHeight="1" x14ac:dyDescent="0.25">
      <c r="B66" s="322"/>
      <c r="C66" s="243" t="s">
        <v>3</v>
      </c>
      <c r="D66" s="222"/>
      <c r="E66" s="222"/>
      <c r="F66" s="222"/>
      <c r="G66" s="243">
        <f>G37</f>
        <v>0</v>
      </c>
      <c r="H66" s="222"/>
      <c r="I66" s="222"/>
      <c r="J66" s="222"/>
      <c r="K66" s="222"/>
      <c r="L66" s="121"/>
      <c r="M66" s="121"/>
      <c r="N66" s="121"/>
      <c r="O66" s="121"/>
      <c r="P66" s="121"/>
      <c r="Q66" s="121"/>
      <c r="R66" s="121"/>
      <c r="S66" s="121"/>
      <c r="T66" s="121"/>
      <c r="U66" s="121"/>
      <c r="V66" s="121"/>
      <c r="W66" s="121"/>
      <c r="X66" s="121"/>
      <c r="Y66" s="121"/>
      <c r="Z66" s="234"/>
      <c r="AA66" s="235"/>
      <c r="AB66" s="240"/>
      <c r="AC66" s="241"/>
      <c r="AD66" s="242"/>
      <c r="AE66" s="238"/>
      <c r="AF66" s="233"/>
    </row>
    <row r="67" spans="2:32" ht="33.75" customHeight="1" x14ac:dyDescent="0.25">
      <c r="B67" s="68" t="s">
        <v>2</v>
      </c>
      <c r="C67" s="244" t="str">
        <f>C37</f>
        <v xml:space="preserve">Lock Box # </v>
      </c>
      <c r="D67" s="244"/>
      <c r="E67" s="244"/>
      <c r="F67" s="244"/>
      <c r="G67" s="244"/>
      <c r="H67" s="244"/>
      <c r="I67" s="244"/>
      <c r="J67" s="244"/>
      <c r="K67" s="244"/>
      <c r="L67" s="244"/>
      <c r="M67" s="244"/>
      <c r="N67" s="244"/>
      <c r="O67" s="244"/>
      <c r="P67" s="244"/>
      <c r="Q67" s="244"/>
      <c r="R67" s="244"/>
      <c r="S67" s="244"/>
      <c r="T67" s="244"/>
      <c r="U67" s="244"/>
      <c r="V67" s="244"/>
      <c r="W67" s="244"/>
      <c r="X67" s="244"/>
      <c r="Y67" s="80" t="s">
        <v>28</v>
      </c>
      <c r="Z67" s="235"/>
      <c r="AA67" s="79" t="s">
        <v>73</v>
      </c>
      <c r="AB67" s="79" t="s">
        <v>73</v>
      </c>
      <c r="AC67" s="245" t="s">
        <v>73</v>
      </c>
      <c r="AD67" s="246"/>
      <c r="AE67" s="240"/>
      <c r="AF67" s="242"/>
    </row>
    <row r="68" spans="2:32" ht="15" customHeight="1" x14ac:dyDescent="0.25">
      <c r="B68" s="78" t="str">
        <f>'Eid List Entry'!B34</f>
        <v xml:space="preserve"> </v>
      </c>
      <c r="C68" s="215">
        <f>'Eid List Entry'!C34</f>
        <v>0</v>
      </c>
      <c r="D68" s="216"/>
      <c r="E68" s="216"/>
      <c r="F68" s="216"/>
      <c r="G68" s="216"/>
      <c r="H68" s="216"/>
      <c r="I68" s="216"/>
      <c r="J68" s="216"/>
      <c r="K68" s="216"/>
      <c r="L68" s="216"/>
      <c r="M68" s="216"/>
      <c r="N68" s="216"/>
      <c r="O68" s="216"/>
      <c r="P68" s="216"/>
      <c r="Q68" s="216"/>
      <c r="R68" s="216"/>
      <c r="S68" s="216"/>
      <c r="T68" s="216"/>
      <c r="U68" s="216"/>
      <c r="V68" s="216"/>
      <c r="W68" s="216"/>
      <c r="X68" s="216"/>
      <c r="Y68" s="21">
        <f>'Eid List Entry'!E34</f>
        <v>0</v>
      </c>
      <c r="Z68" s="104">
        <f>'Eid List Entry'!D34</f>
        <v>0</v>
      </c>
      <c r="AA68" s="74"/>
      <c r="AB68" s="76"/>
      <c r="AC68" s="217"/>
      <c r="AD68" s="218"/>
      <c r="AE68" s="224"/>
      <c r="AF68" s="225"/>
    </row>
    <row r="69" spans="2:32" ht="15" customHeight="1" x14ac:dyDescent="0.25">
      <c r="B69" s="78" t="str">
        <f>'Eid List Entry'!B35</f>
        <v xml:space="preserve"> </v>
      </c>
      <c r="C69" s="215">
        <f>'Eid List Entry'!C35</f>
        <v>0</v>
      </c>
      <c r="D69" s="216"/>
      <c r="E69" s="216"/>
      <c r="F69" s="216"/>
      <c r="G69" s="216"/>
      <c r="H69" s="216"/>
      <c r="I69" s="216"/>
      <c r="J69" s="216"/>
      <c r="K69" s="216"/>
      <c r="L69" s="216"/>
      <c r="M69" s="216"/>
      <c r="N69" s="216"/>
      <c r="O69" s="216"/>
      <c r="P69" s="216"/>
      <c r="Q69" s="216"/>
      <c r="R69" s="216"/>
      <c r="S69" s="216"/>
      <c r="T69" s="216"/>
      <c r="U69" s="216"/>
      <c r="V69" s="216"/>
      <c r="W69" s="216"/>
      <c r="X69" s="216"/>
      <c r="Y69" s="21">
        <f>'Eid List Entry'!E35</f>
        <v>0</v>
      </c>
      <c r="Z69" s="104">
        <f>'Eid List Entry'!D35</f>
        <v>0</v>
      </c>
      <c r="AA69" s="74"/>
      <c r="AB69" s="76"/>
      <c r="AC69" s="217"/>
      <c r="AD69" s="218"/>
      <c r="AE69" s="219"/>
      <c r="AF69" s="218"/>
    </row>
    <row r="70" spans="2:32" ht="15" customHeight="1" x14ac:dyDescent="0.25">
      <c r="B70" s="78" t="str">
        <f>'Eid List Entry'!B36</f>
        <v xml:space="preserve"> </v>
      </c>
      <c r="C70" s="215">
        <f>'Eid List Entry'!C36</f>
        <v>0</v>
      </c>
      <c r="D70" s="216"/>
      <c r="E70" s="216"/>
      <c r="F70" s="216"/>
      <c r="G70" s="216"/>
      <c r="H70" s="216"/>
      <c r="I70" s="216"/>
      <c r="J70" s="216"/>
      <c r="K70" s="216"/>
      <c r="L70" s="216"/>
      <c r="M70" s="216"/>
      <c r="N70" s="216"/>
      <c r="O70" s="216"/>
      <c r="P70" s="216"/>
      <c r="Q70" s="216"/>
      <c r="R70" s="216"/>
      <c r="S70" s="216"/>
      <c r="T70" s="216"/>
      <c r="U70" s="216"/>
      <c r="V70" s="216"/>
      <c r="W70" s="216"/>
      <c r="X70" s="216"/>
      <c r="Y70" s="21">
        <f>'Eid List Entry'!E36</f>
        <v>0</v>
      </c>
      <c r="Z70" s="104">
        <f>'Eid List Entry'!D36</f>
        <v>0</v>
      </c>
      <c r="AA70" s="74"/>
      <c r="AB70" s="76"/>
      <c r="AC70" s="217"/>
      <c r="AD70" s="218"/>
      <c r="AE70" s="219"/>
      <c r="AF70" s="218"/>
    </row>
    <row r="71" spans="2:32" ht="15" customHeight="1" x14ac:dyDescent="0.25">
      <c r="B71" s="78" t="str">
        <f>'Eid List Entry'!B37</f>
        <v xml:space="preserve"> </v>
      </c>
      <c r="C71" s="215">
        <f>'Eid List Entry'!C37</f>
        <v>0</v>
      </c>
      <c r="D71" s="216"/>
      <c r="E71" s="216"/>
      <c r="F71" s="216"/>
      <c r="G71" s="216"/>
      <c r="H71" s="216"/>
      <c r="I71" s="216"/>
      <c r="J71" s="216"/>
      <c r="K71" s="216"/>
      <c r="L71" s="216"/>
      <c r="M71" s="216"/>
      <c r="N71" s="216"/>
      <c r="O71" s="216"/>
      <c r="P71" s="216"/>
      <c r="Q71" s="216"/>
      <c r="R71" s="216"/>
      <c r="S71" s="216"/>
      <c r="T71" s="216"/>
      <c r="U71" s="216"/>
      <c r="V71" s="216"/>
      <c r="W71" s="216"/>
      <c r="X71" s="216"/>
      <c r="Y71" s="21">
        <f>'Eid List Entry'!E37</f>
        <v>0</v>
      </c>
      <c r="Z71" s="104">
        <f>'Eid List Entry'!D37</f>
        <v>0</v>
      </c>
      <c r="AA71" s="74"/>
      <c r="AB71" s="76"/>
      <c r="AC71" s="217"/>
      <c r="AD71" s="218"/>
      <c r="AE71" s="219"/>
      <c r="AF71" s="218"/>
    </row>
    <row r="72" spans="2:32" ht="15" customHeight="1" x14ac:dyDescent="0.25">
      <c r="B72" s="78" t="str">
        <f>'Eid List Entry'!B38</f>
        <v xml:space="preserve"> </v>
      </c>
      <c r="C72" s="215">
        <f>'Eid List Entry'!C38</f>
        <v>0</v>
      </c>
      <c r="D72" s="216"/>
      <c r="E72" s="216"/>
      <c r="F72" s="216"/>
      <c r="G72" s="216"/>
      <c r="H72" s="216"/>
      <c r="I72" s="216"/>
      <c r="J72" s="216"/>
      <c r="K72" s="216"/>
      <c r="L72" s="216"/>
      <c r="M72" s="216"/>
      <c r="N72" s="216"/>
      <c r="O72" s="216"/>
      <c r="P72" s="216"/>
      <c r="Q72" s="216"/>
      <c r="R72" s="216"/>
      <c r="S72" s="216"/>
      <c r="T72" s="216"/>
      <c r="U72" s="216"/>
      <c r="V72" s="216"/>
      <c r="W72" s="216"/>
      <c r="X72" s="216"/>
      <c r="Y72" s="21">
        <f>'Eid List Entry'!E38</f>
        <v>0</v>
      </c>
      <c r="Z72" s="104">
        <f>'Eid List Entry'!D38</f>
        <v>0</v>
      </c>
      <c r="AA72" s="74"/>
      <c r="AB72" s="76"/>
      <c r="AC72" s="217"/>
      <c r="AD72" s="218"/>
      <c r="AE72" s="219"/>
      <c r="AF72" s="218"/>
    </row>
    <row r="73" spans="2:32" ht="15" customHeight="1" x14ac:dyDescent="0.25">
      <c r="B73" s="78" t="str">
        <f>'Eid List Entry'!B39</f>
        <v xml:space="preserve"> </v>
      </c>
      <c r="C73" s="215">
        <f>'Eid List Entry'!C39</f>
        <v>0</v>
      </c>
      <c r="D73" s="216"/>
      <c r="E73" s="216"/>
      <c r="F73" s="216"/>
      <c r="G73" s="216"/>
      <c r="H73" s="216"/>
      <c r="I73" s="216"/>
      <c r="J73" s="216"/>
      <c r="K73" s="216"/>
      <c r="L73" s="216"/>
      <c r="M73" s="216"/>
      <c r="N73" s="216"/>
      <c r="O73" s="216"/>
      <c r="P73" s="216"/>
      <c r="Q73" s="216"/>
      <c r="R73" s="216"/>
      <c r="S73" s="216"/>
      <c r="T73" s="216"/>
      <c r="U73" s="216"/>
      <c r="V73" s="216"/>
      <c r="W73" s="216"/>
      <c r="X73" s="216"/>
      <c r="Y73" s="21">
        <f>'Eid List Entry'!E39</f>
        <v>0</v>
      </c>
      <c r="Z73" s="104">
        <f>'Eid List Entry'!D39</f>
        <v>0</v>
      </c>
      <c r="AA73" s="74"/>
      <c r="AB73" s="76"/>
      <c r="AC73" s="217"/>
      <c r="AD73" s="218"/>
      <c r="AE73" s="219"/>
      <c r="AF73" s="218"/>
    </row>
    <row r="74" spans="2:32" ht="15" customHeight="1" x14ac:dyDescent="0.25">
      <c r="B74" s="78" t="str">
        <f>'Eid List Entry'!B40</f>
        <v xml:space="preserve"> </v>
      </c>
      <c r="C74" s="215">
        <f>'Eid List Entry'!C40</f>
        <v>0</v>
      </c>
      <c r="D74" s="216"/>
      <c r="E74" s="216"/>
      <c r="F74" s="216"/>
      <c r="G74" s="216"/>
      <c r="H74" s="216"/>
      <c r="I74" s="216"/>
      <c r="J74" s="216"/>
      <c r="K74" s="216"/>
      <c r="L74" s="216"/>
      <c r="M74" s="216"/>
      <c r="N74" s="216"/>
      <c r="O74" s="216"/>
      <c r="P74" s="216"/>
      <c r="Q74" s="216"/>
      <c r="R74" s="216"/>
      <c r="S74" s="216"/>
      <c r="T74" s="216"/>
      <c r="U74" s="216"/>
      <c r="V74" s="216"/>
      <c r="W74" s="216"/>
      <c r="X74" s="216"/>
      <c r="Y74" s="21">
        <f>'Eid List Entry'!E40</f>
        <v>0</v>
      </c>
      <c r="Z74" s="104">
        <f>'Eid List Entry'!D40</f>
        <v>0</v>
      </c>
      <c r="AA74" s="74"/>
      <c r="AB74" s="76"/>
      <c r="AC74" s="217"/>
      <c r="AD74" s="218"/>
      <c r="AE74" s="219"/>
      <c r="AF74" s="218"/>
    </row>
    <row r="75" spans="2:32" ht="15" customHeight="1" x14ac:dyDescent="0.25">
      <c r="B75" s="78" t="str">
        <f>'Eid List Entry'!B41</f>
        <v xml:space="preserve"> </v>
      </c>
      <c r="C75" s="215">
        <f>'Eid List Entry'!C41</f>
        <v>0</v>
      </c>
      <c r="D75" s="216"/>
      <c r="E75" s="216"/>
      <c r="F75" s="216"/>
      <c r="G75" s="216"/>
      <c r="H75" s="216"/>
      <c r="I75" s="216"/>
      <c r="J75" s="216"/>
      <c r="K75" s="216"/>
      <c r="L75" s="216"/>
      <c r="M75" s="216"/>
      <c r="N75" s="216"/>
      <c r="O75" s="216"/>
      <c r="P75" s="216"/>
      <c r="Q75" s="216"/>
      <c r="R75" s="216"/>
      <c r="S75" s="216"/>
      <c r="T75" s="216"/>
      <c r="U75" s="216"/>
      <c r="V75" s="216"/>
      <c r="W75" s="216"/>
      <c r="X75" s="216"/>
      <c r="Y75" s="21">
        <f>'Eid List Entry'!E41</f>
        <v>0</v>
      </c>
      <c r="Z75" s="104">
        <f>'Eid List Entry'!D41</f>
        <v>0</v>
      </c>
      <c r="AA75" s="74"/>
      <c r="AB75" s="76"/>
      <c r="AC75" s="217"/>
      <c r="AD75" s="218"/>
      <c r="AE75" s="219"/>
      <c r="AF75" s="218"/>
    </row>
    <row r="76" spans="2:32" ht="15" customHeight="1" x14ac:dyDescent="0.25">
      <c r="B76" s="78" t="str">
        <f>'Eid List Entry'!B42</f>
        <v xml:space="preserve"> </v>
      </c>
      <c r="C76" s="215">
        <f>'Eid List Entry'!C42</f>
        <v>0</v>
      </c>
      <c r="D76" s="216"/>
      <c r="E76" s="216"/>
      <c r="F76" s="216"/>
      <c r="G76" s="216"/>
      <c r="H76" s="216"/>
      <c r="I76" s="216"/>
      <c r="J76" s="216"/>
      <c r="K76" s="216"/>
      <c r="L76" s="216"/>
      <c r="M76" s="216"/>
      <c r="N76" s="216"/>
      <c r="O76" s="216"/>
      <c r="P76" s="216"/>
      <c r="Q76" s="216"/>
      <c r="R76" s="216"/>
      <c r="S76" s="216"/>
      <c r="T76" s="216"/>
      <c r="U76" s="216"/>
      <c r="V76" s="216"/>
      <c r="W76" s="216"/>
      <c r="X76" s="216"/>
      <c r="Y76" s="21">
        <f>'Eid List Entry'!E42</f>
        <v>0</v>
      </c>
      <c r="Z76" s="104">
        <f>'Eid List Entry'!D42</f>
        <v>0</v>
      </c>
      <c r="AA76" s="74"/>
      <c r="AB76" s="76"/>
      <c r="AC76" s="217"/>
      <c r="AD76" s="218"/>
      <c r="AE76" s="219"/>
      <c r="AF76" s="218"/>
    </row>
    <row r="77" spans="2:32" ht="15" customHeight="1" x14ac:dyDescent="0.25">
      <c r="B77" s="78" t="str">
        <f>'Eid List Entry'!B43</f>
        <v xml:space="preserve"> </v>
      </c>
      <c r="C77" s="215">
        <f>'Eid List Entry'!C43</f>
        <v>0</v>
      </c>
      <c r="D77" s="216"/>
      <c r="E77" s="216"/>
      <c r="F77" s="216"/>
      <c r="G77" s="216"/>
      <c r="H77" s="216"/>
      <c r="I77" s="216"/>
      <c r="J77" s="216"/>
      <c r="K77" s="216"/>
      <c r="L77" s="216"/>
      <c r="M77" s="216"/>
      <c r="N77" s="216"/>
      <c r="O77" s="216"/>
      <c r="P77" s="216"/>
      <c r="Q77" s="216"/>
      <c r="R77" s="216"/>
      <c r="S77" s="216"/>
      <c r="T77" s="216"/>
      <c r="U77" s="216"/>
      <c r="V77" s="216"/>
      <c r="W77" s="216"/>
      <c r="X77" s="216"/>
      <c r="Y77" s="21">
        <f>'Eid List Entry'!E43</f>
        <v>0</v>
      </c>
      <c r="Z77" s="104">
        <f>'Eid List Entry'!D43</f>
        <v>0</v>
      </c>
      <c r="AA77" s="74"/>
      <c r="AB77" s="76"/>
      <c r="AC77" s="217"/>
      <c r="AD77" s="218"/>
      <c r="AE77" s="219"/>
      <c r="AF77" s="218"/>
    </row>
    <row r="78" spans="2:32" ht="15" customHeight="1" x14ac:dyDescent="0.25">
      <c r="B78" s="78" t="str">
        <f>'Eid List Entry'!B44</f>
        <v xml:space="preserve"> </v>
      </c>
      <c r="C78" s="215">
        <f>'Eid List Entry'!C44</f>
        <v>0</v>
      </c>
      <c r="D78" s="216"/>
      <c r="E78" s="216"/>
      <c r="F78" s="216"/>
      <c r="G78" s="216"/>
      <c r="H78" s="216"/>
      <c r="I78" s="216"/>
      <c r="J78" s="216"/>
      <c r="K78" s="216"/>
      <c r="L78" s="216"/>
      <c r="M78" s="216"/>
      <c r="N78" s="216"/>
      <c r="O78" s="216"/>
      <c r="P78" s="216"/>
      <c r="Q78" s="216"/>
      <c r="R78" s="216"/>
      <c r="S78" s="216"/>
      <c r="T78" s="216"/>
      <c r="U78" s="216"/>
      <c r="V78" s="216"/>
      <c r="W78" s="216"/>
      <c r="X78" s="216"/>
      <c r="Y78" s="21">
        <f>'Eid List Entry'!E44</f>
        <v>0</v>
      </c>
      <c r="Z78" s="104">
        <f>'Eid List Entry'!D44</f>
        <v>0</v>
      </c>
      <c r="AA78" s="74"/>
      <c r="AB78" s="76"/>
      <c r="AC78" s="217"/>
      <c r="AD78" s="218"/>
      <c r="AE78" s="219"/>
      <c r="AF78" s="218"/>
    </row>
    <row r="79" spans="2:32" ht="15" customHeight="1" x14ac:dyDescent="0.25">
      <c r="B79" s="78" t="str">
        <f>'Eid List Entry'!B45</f>
        <v xml:space="preserve"> </v>
      </c>
      <c r="C79" s="215">
        <f>'Eid List Entry'!C45</f>
        <v>0</v>
      </c>
      <c r="D79" s="216"/>
      <c r="E79" s="216"/>
      <c r="F79" s="216"/>
      <c r="G79" s="216"/>
      <c r="H79" s="216"/>
      <c r="I79" s="216"/>
      <c r="J79" s="216"/>
      <c r="K79" s="216"/>
      <c r="L79" s="216"/>
      <c r="M79" s="216"/>
      <c r="N79" s="216"/>
      <c r="O79" s="216"/>
      <c r="P79" s="216"/>
      <c r="Q79" s="216"/>
      <c r="R79" s="216"/>
      <c r="S79" s="216"/>
      <c r="T79" s="216"/>
      <c r="U79" s="216"/>
      <c r="V79" s="216"/>
      <c r="W79" s="216"/>
      <c r="X79" s="216"/>
      <c r="Y79" s="21">
        <f>'Eid List Entry'!E45</f>
        <v>0</v>
      </c>
      <c r="Z79" s="104">
        <f>'Eid List Entry'!D45</f>
        <v>0</v>
      </c>
      <c r="AA79" s="81"/>
      <c r="AB79" s="82"/>
      <c r="AC79" s="220"/>
      <c r="AD79" s="221"/>
      <c r="AE79" s="222"/>
      <c r="AF79" s="223"/>
    </row>
    <row r="80" spans="2:32" ht="15" customHeight="1" x14ac:dyDescent="0.25">
      <c r="B80" s="78" t="str">
        <f>'Eid List Entry'!B46</f>
        <v xml:space="preserve"> </v>
      </c>
      <c r="C80" s="215">
        <f>'Eid List Entry'!C46</f>
        <v>0</v>
      </c>
      <c r="D80" s="216"/>
      <c r="E80" s="216"/>
      <c r="F80" s="216"/>
      <c r="G80" s="216"/>
      <c r="H80" s="216"/>
      <c r="I80" s="216"/>
      <c r="J80" s="216"/>
      <c r="K80" s="216"/>
      <c r="L80" s="216"/>
      <c r="M80" s="216"/>
      <c r="N80" s="216"/>
      <c r="O80" s="216"/>
      <c r="P80" s="216"/>
      <c r="Q80" s="216"/>
      <c r="R80" s="216"/>
      <c r="S80" s="216"/>
      <c r="T80" s="216"/>
      <c r="U80" s="216"/>
      <c r="V80" s="216"/>
      <c r="W80" s="216"/>
      <c r="X80" s="216"/>
      <c r="Y80" s="21">
        <f>'Eid List Entry'!E46</f>
        <v>0</v>
      </c>
      <c r="Z80" s="104">
        <f>'Eid List Entry'!D46</f>
        <v>0</v>
      </c>
      <c r="AA80" s="74"/>
      <c r="AB80" s="82"/>
      <c r="AC80" s="217"/>
      <c r="AD80" s="218"/>
      <c r="AE80" s="219"/>
      <c r="AF80" s="218"/>
    </row>
    <row r="81" spans="2:32" ht="15" customHeight="1" x14ac:dyDescent="0.25">
      <c r="B81" s="78" t="str">
        <f>'Eid List Entry'!B47</f>
        <v xml:space="preserve"> </v>
      </c>
      <c r="C81" s="215">
        <f>'Eid List Entry'!C47</f>
        <v>0</v>
      </c>
      <c r="D81" s="216"/>
      <c r="E81" s="216"/>
      <c r="F81" s="216"/>
      <c r="G81" s="216"/>
      <c r="H81" s="216"/>
      <c r="I81" s="216"/>
      <c r="J81" s="216"/>
      <c r="K81" s="216"/>
      <c r="L81" s="216"/>
      <c r="M81" s="216"/>
      <c r="N81" s="216"/>
      <c r="O81" s="216"/>
      <c r="P81" s="216"/>
      <c r="Q81" s="216"/>
      <c r="R81" s="216"/>
      <c r="S81" s="216"/>
      <c r="T81" s="216"/>
      <c r="U81" s="216"/>
      <c r="V81" s="216"/>
      <c r="W81" s="216"/>
      <c r="X81" s="216"/>
      <c r="Y81" s="21">
        <f>'Eid List Entry'!E47</f>
        <v>0</v>
      </c>
      <c r="Z81" s="104">
        <f>'Eid List Entry'!D47</f>
        <v>0</v>
      </c>
      <c r="AA81" s="74"/>
      <c r="AB81" s="76"/>
      <c r="AC81" s="217"/>
      <c r="AD81" s="218"/>
      <c r="AE81" s="219"/>
      <c r="AF81" s="218"/>
    </row>
    <row r="82" spans="2:32" ht="15" customHeight="1" x14ac:dyDescent="0.25">
      <c r="B82" s="78" t="str">
        <f>'Eid List Entry'!B48</f>
        <v xml:space="preserve"> </v>
      </c>
      <c r="C82" s="215">
        <f>'Eid List Entry'!C48</f>
        <v>0</v>
      </c>
      <c r="D82" s="216"/>
      <c r="E82" s="216"/>
      <c r="F82" s="216"/>
      <c r="G82" s="216"/>
      <c r="H82" s="216"/>
      <c r="I82" s="216"/>
      <c r="J82" s="216"/>
      <c r="K82" s="216"/>
      <c r="L82" s="216"/>
      <c r="M82" s="216"/>
      <c r="N82" s="216"/>
      <c r="O82" s="216"/>
      <c r="P82" s="216"/>
      <c r="Q82" s="216"/>
      <c r="R82" s="216"/>
      <c r="S82" s="216"/>
      <c r="T82" s="216"/>
      <c r="U82" s="216"/>
      <c r="V82" s="216"/>
      <c r="W82" s="216"/>
      <c r="X82" s="216"/>
      <c r="Y82" s="21">
        <f>'Eid List Entry'!E48</f>
        <v>0</v>
      </c>
      <c r="Z82" s="104">
        <f>'Eid List Entry'!D48</f>
        <v>0</v>
      </c>
      <c r="AA82" s="74"/>
      <c r="AB82" s="76"/>
      <c r="AC82" s="217"/>
      <c r="AD82" s="218"/>
      <c r="AE82" s="219"/>
      <c r="AF82" s="218"/>
    </row>
    <row r="83" spans="2:32" ht="15" customHeight="1" x14ac:dyDescent="0.25">
      <c r="B83" s="78" t="str">
        <f>'Eid List Entry'!B49</f>
        <v xml:space="preserve"> </v>
      </c>
      <c r="C83" s="215">
        <f>'Eid List Entry'!C49</f>
        <v>0</v>
      </c>
      <c r="D83" s="216"/>
      <c r="E83" s="216"/>
      <c r="F83" s="216"/>
      <c r="G83" s="216"/>
      <c r="H83" s="216"/>
      <c r="I83" s="216"/>
      <c r="J83" s="216"/>
      <c r="K83" s="216"/>
      <c r="L83" s="216"/>
      <c r="M83" s="216"/>
      <c r="N83" s="216"/>
      <c r="O83" s="216"/>
      <c r="P83" s="216"/>
      <c r="Q83" s="216"/>
      <c r="R83" s="216"/>
      <c r="S83" s="216"/>
      <c r="T83" s="216"/>
      <c r="U83" s="216"/>
      <c r="V83" s="216"/>
      <c r="W83" s="216"/>
      <c r="X83" s="216"/>
      <c r="Y83" s="21">
        <f>'Eid List Entry'!E49</f>
        <v>0</v>
      </c>
      <c r="Z83" s="104">
        <f>'Eid List Entry'!D49</f>
        <v>0</v>
      </c>
      <c r="AA83" s="74"/>
      <c r="AB83" s="76"/>
      <c r="AC83" s="217"/>
      <c r="AD83" s="218"/>
      <c r="AE83" s="219"/>
      <c r="AF83" s="218"/>
    </row>
    <row r="84" spans="2:32" ht="15" customHeight="1" x14ac:dyDescent="0.25">
      <c r="B84" s="78" t="str">
        <f>'Eid List Entry'!B50</f>
        <v xml:space="preserve"> </v>
      </c>
      <c r="C84" s="215">
        <f>'Eid List Entry'!C50</f>
        <v>0</v>
      </c>
      <c r="D84" s="216"/>
      <c r="E84" s="216"/>
      <c r="F84" s="216"/>
      <c r="G84" s="216"/>
      <c r="H84" s="216"/>
      <c r="I84" s="216"/>
      <c r="J84" s="216"/>
      <c r="K84" s="216"/>
      <c r="L84" s="216"/>
      <c r="M84" s="216"/>
      <c r="N84" s="216"/>
      <c r="O84" s="216"/>
      <c r="P84" s="216"/>
      <c r="Q84" s="216"/>
      <c r="R84" s="216"/>
      <c r="S84" s="216"/>
      <c r="T84" s="216"/>
      <c r="U84" s="216"/>
      <c r="V84" s="216"/>
      <c r="W84" s="216"/>
      <c r="X84" s="216"/>
      <c r="Y84" s="21">
        <f>'Eid List Entry'!E50</f>
        <v>0</v>
      </c>
      <c r="Z84" s="104">
        <f>'Eid List Entry'!D50</f>
        <v>0</v>
      </c>
      <c r="AA84" s="74"/>
      <c r="AB84" s="76"/>
      <c r="AC84" s="217"/>
      <c r="AD84" s="218"/>
      <c r="AE84" s="219"/>
      <c r="AF84" s="218"/>
    </row>
    <row r="85" spans="2:32" ht="15" customHeight="1" x14ac:dyDescent="0.25">
      <c r="B85" s="78" t="str">
        <f>'Eid List Entry'!B51</f>
        <v xml:space="preserve"> </v>
      </c>
      <c r="C85" s="215">
        <f>'Eid List Entry'!C51</f>
        <v>0</v>
      </c>
      <c r="D85" s="216"/>
      <c r="E85" s="216"/>
      <c r="F85" s="216"/>
      <c r="G85" s="216"/>
      <c r="H85" s="216"/>
      <c r="I85" s="216"/>
      <c r="J85" s="216"/>
      <c r="K85" s="216"/>
      <c r="L85" s="216"/>
      <c r="M85" s="216"/>
      <c r="N85" s="216"/>
      <c r="O85" s="216"/>
      <c r="P85" s="216"/>
      <c r="Q85" s="216"/>
      <c r="R85" s="216"/>
      <c r="S85" s="216"/>
      <c r="T85" s="216"/>
      <c r="U85" s="216"/>
      <c r="V85" s="216"/>
      <c r="W85" s="216"/>
      <c r="X85" s="216"/>
      <c r="Y85" s="21">
        <f>'Eid List Entry'!E51</f>
        <v>0</v>
      </c>
      <c r="Z85" s="104">
        <f>'Eid List Entry'!D51</f>
        <v>0</v>
      </c>
      <c r="AA85" s="74"/>
      <c r="AB85" s="76"/>
      <c r="AC85" s="217"/>
      <c r="AD85" s="218"/>
      <c r="AE85" s="219"/>
      <c r="AF85" s="218"/>
    </row>
    <row r="86" spans="2:32" ht="15" customHeight="1" x14ac:dyDescent="0.25">
      <c r="B86" s="78" t="str">
        <f>'Eid List Entry'!B52</f>
        <v xml:space="preserve"> </v>
      </c>
      <c r="C86" s="215">
        <f>'Eid List Entry'!C52</f>
        <v>0</v>
      </c>
      <c r="D86" s="216"/>
      <c r="E86" s="216"/>
      <c r="F86" s="216"/>
      <c r="G86" s="216"/>
      <c r="H86" s="216"/>
      <c r="I86" s="216"/>
      <c r="J86" s="216"/>
      <c r="K86" s="216"/>
      <c r="L86" s="216"/>
      <c r="M86" s="216"/>
      <c r="N86" s="216"/>
      <c r="O86" s="216"/>
      <c r="P86" s="216"/>
      <c r="Q86" s="216"/>
      <c r="R86" s="216"/>
      <c r="S86" s="216"/>
      <c r="T86" s="216"/>
      <c r="U86" s="216"/>
      <c r="V86" s="216"/>
      <c r="W86" s="216"/>
      <c r="X86" s="216"/>
      <c r="Y86" s="21">
        <f>'Eid List Entry'!E52</f>
        <v>0</v>
      </c>
      <c r="Z86" s="104">
        <f>'Eid List Entry'!D52</f>
        <v>0</v>
      </c>
      <c r="AA86" s="74"/>
      <c r="AB86" s="76"/>
      <c r="AC86" s="217"/>
      <c r="AD86" s="218"/>
      <c r="AE86" s="219"/>
      <c r="AF86" s="218"/>
    </row>
    <row r="87" spans="2:32" ht="15" customHeight="1" x14ac:dyDescent="0.25">
      <c r="B87" s="78" t="str">
        <f>'Eid List Entry'!B53</f>
        <v xml:space="preserve"> </v>
      </c>
      <c r="C87" s="215">
        <f>'Eid List Entry'!C53</f>
        <v>0</v>
      </c>
      <c r="D87" s="216"/>
      <c r="E87" s="216"/>
      <c r="F87" s="216"/>
      <c r="G87" s="216"/>
      <c r="H87" s="216"/>
      <c r="I87" s="216"/>
      <c r="J87" s="216"/>
      <c r="K87" s="216"/>
      <c r="L87" s="216"/>
      <c r="M87" s="216"/>
      <c r="N87" s="216"/>
      <c r="O87" s="216"/>
      <c r="P87" s="216"/>
      <c r="Q87" s="216"/>
      <c r="R87" s="216"/>
      <c r="S87" s="216"/>
      <c r="T87" s="216"/>
      <c r="U87" s="216"/>
      <c r="V87" s="216"/>
      <c r="W87" s="216"/>
      <c r="X87" s="216"/>
      <c r="Y87" s="21">
        <f>'Eid List Entry'!E53</f>
        <v>0</v>
      </c>
      <c r="Z87" s="104">
        <f>'Eid List Entry'!D53</f>
        <v>0</v>
      </c>
      <c r="AA87" s="74"/>
      <c r="AB87" s="76"/>
      <c r="AC87" s="217"/>
      <c r="AD87" s="218"/>
      <c r="AE87" s="219"/>
      <c r="AF87" s="218"/>
    </row>
    <row r="88" spans="2:32" s="7" customFormat="1" ht="1.5" customHeight="1" x14ac:dyDescent="0.25">
      <c r="B88" s="23"/>
      <c r="C88" s="101"/>
      <c r="D88" s="101"/>
      <c r="E88" s="101"/>
      <c r="F88" s="101"/>
      <c r="G88" s="101"/>
      <c r="H88" s="101"/>
      <c r="I88" s="101"/>
      <c r="J88" s="101"/>
      <c r="K88" s="101"/>
      <c r="L88" s="101"/>
      <c r="M88" s="101"/>
      <c r="N88" s="101"/>
      <c r="O88" s="101"/>
      <c r="P88" s="101"/>
      <c r="Q88" s="101"/>
      <c r="R88" s="101"/>
      <c r="S88" s="101"/>
      <c r="T88" s="101"/>
      <c r="U88" s="101"/>
      <c r="V88" s="101"/>
      <c r="W88" s="101"/>
      <c r="X88" s="101"/>
      <c r="Y88" s="24"/>
      <c r="Z88" s="25"/>
      <c r="AA88" s="10"/>
      <c r="AB88" s="10"/>
      <c r="AC88" s="10"/>
      <c r="AD88" s="10"/>
      <c r="AE88" s="10"/>
      <c r="AF88" s="10"/>
    </row>
    <row r="89" spans="2:32" ht="73.5" customHeight="1" x14ac:dyDescent="0.25">
      <c r="B89" s="12"/>
      <c r="C89" s="12"/>
      <c r="D89" s="12"/>
      <c r="E89" s="12"/>
      <c r="F89" s="12"/>
      <c r="G89" s="12"/>
      <c r="H89" s="12"/>
      <c r="I89" s="12"/>
      <c r="J89" s="12"/>
      <c r="K89" s="12"/>
      <c r="L89" s="12"/>
      <c r="M89" s="12"/>
      <c r="N89" s="12"/>
      <c r="O89" s="12"/>
      <c r="P89" s="12"/>
    </row>
    <row r="90" spans="2:32" ht="18" customHeight="1" x14ac:dyDescent="0.25">
      <c r="B90" s="160" t="s">
        <v>0</v>
      </c>
      <c r="C90" s="249" t="s">
        <v>9</v>
      </c>
      <c r="D90" s="250"/>
      <c r="E90" s="251">
        <f>E61</f>
        <v>1594</v>
      </c>
      <c r="F90" s="252"/>
      <c r="G90" s="252"/>
      <c r="H90" s="252"/>
      <c r="I90" s="252"/>
      <c r="J90" s="252"/>
      <c r="K90" s="252"/>
      <c r="L90" s="252"/>
      <c r="M90" s="252"/>
      <c r="N90" s="252"/>
      <c r="O90" s="252"/>
      <c r="P90" s="252"/>
      <c r="Q90" s="252"/>
      <c r="R90" s="252"/>
      <c r="S90" s="252"/>
      <c r="T90" s="252"/>
      <c r="U90" s="252"/>
      <c r="V90" s="252"/>
      <c r="W90" s="252"/>
      <c r="X90" s="252"/>
      <c r="Y90" s="252"/>
      <c r="Z90" s="253" t="s">
        <v>10</v>
      </c>
      <c r="AA90" s="254"/>
      <c r="AB90" s="259" t="s">
        <v>11</v>
      </c>
      <c r="AC90" s="260"/>
      <c r="AD90" s="261"/>
      <c r="AE90" s="268" t="s">
        <v>12</v>
      </c>
      <c r="AF90" s="269"/>
    </row>
    <row r="91" spans="2:32" ht="18" customHeight="1" x14ac:dyDescent="0.25">
      <c r="B91" s="161">
        <f ca="1">B62</f>
        <v>44621</v>
      </c>
      <c r="C91" s="274" t="s">
        <v>13</v>
      </c>
      <c r="D91" s="274"/>
      <c r="E91" s="274"/>
      <c r="F91" s="274"/>
      <c r="G91" s="274"/>
      <c r="H91" s="274"/>
      <c r="I91" s="274"/>
      <c r="J91" s="274"/>
      <c r="K91" s="274"/>
      <c r="L91" s="275">
        <f>L62</f>
        <v>0</v>
      </c>
      <c r="M91" s="275"/>
      <c r="N91" s="275"/>
      <c r="O91" s="275"/>
      <c r="P91" s="275"/>
      <c r="Q91" s="275"/>
      <c r="R91" s="275"/>
      <c r="S91" s="275"/>
      <c r="T91" s="275"/>
      <c r="U91" s="275"/>
      <c r="V91" s="275"/>
      <c r="W91" s="275"/>
      <c r="X91" s="275"/>
      <c r="Y91" s="275"/>
      <c r="Z91" s="255"/>
      <c r="AA91" s="256"/>
      <c r="AB91" s="262"/>
      <c r="AC91" s="263"/>
      <c r="AD91" s="264"/>
      <c r="AE91" s="270"/>
      <c r="AF91" s="271"/>
    </row>
    <row r="92" spans="2:32" ht="18" customHeight="1" x14ac:dyDescent="0.25">
      <c r="B92" s="159" t="s">
        <v>14</v>
      </c>
      <c r="C92" s="276" t="s">
        <v>15</v>
      </c>
      <c r="D92" s="277"/>
      <c r="E92" s="277"/>
      <c r="F92" s="278"/>
      <c r="G92" s="278">
        <f>G63</f>
        <v>0</v>
      </c>
      <c r="H92" s="278"/>
      <c r="I92" s="278"/>
      <c r="J92" s="278"/>
      <c r="K92" s="278"/>
      <c r="L92" s="278"/>
      <c r="M92" s="278"/>
      <c r="N92" s="278"/>
      <c r="O92" s="278"/>
      <c r="P92" s="278"/>
      <c r="Q92" s="278"/>
      <c r="R92" s="278"/>
      <c r="S92" s="278"/>
      <c r="T92" s="278"/>
      <c r="U92" s="278"/>
      <c r="V92" s="278"/>
      <c r="W92" s="278"/>
      <c r="X92" s="278"/>
      <c r="Y92" s="279"/>
      <c r="Z92" s="257"/>
      <c r="AA92" s="258"/>
      <c r="AB92" s="265"/>
      <c r="AC92" s="266"/>
      <c r="AD92" s="267"/>
      <c r="AE92" s="272"/>
      <c r="AF92" s="273"/>
    </row>
    <row r="93" spans="2:32" ht="18.75" customHeight="1" x14ac:dyDescent="0.25">
      <c r="B93" s="321" t="str">
        <f>_xlfn.CONCAT("4"," ","of"," ",IF(ISBLANK('Eid List Entry'!C14),1,
IF(ISBLANK('Eid List Entry'!C34),2,
IF(ISBLANK('Eid List Entry'!C54),3,
IF(ISBLANK('Eid List Entry'!C74),4,
IF(ISBLANK('Eid List Entry'!C94),5,
IF(ISBLANK('Eid List Entry'!C114),6,
IF(ISBLANK('Eid List Entry'!C134),7,
IF(ISBLANK('Eid List Entry'!C154),8,
IF(ISBLANK('Eid List Entry'!C174),9,
IF(ISBLANK('Eid List Entry'!C194),10,
IF(ISBLANK('Eid List Entry'!C214),11,
IF(ISBLANK('Eid List Entry'!C234),12,
IF(ISBLANK('Eid List Entry'!C254),13))))))))))))))</f>
        <v>4 of 1</v>
      </c>
      <c r="C93" s="226"/>
      <c r="D93" s="227"/>
      <c r="E93" s="227"/>
      <c r="F93" s="227"/>
      <c r="G93" s="227"/>
      <c r="H93" s="227"/>
      <c r="I93" s="227"/>
      <c r="J93" s="227"/>
      <c r="K93" s="227"/>
      <c r="L93" s="227"/>
      <c r="M93" s="227"/>
      <c r="N93" s="227"/>
      <c r="O93" s="227"/>
      <c r="P93" s="227"/>
      <c r="Q93" s="227"/>
      <c r="R93" s="227"/>
      <c r="S93" s="227"/>
      <c r="T93" s="227"/>
      <c r="U93" s="227"/>
      <c r="V93" s="227"/>
      <c r="W93" s="227"/>
      <c r="X93" s="227"/>
      <c r="Y93" s="228"/>
      <c r="Z93" s="232" t="s">
        <v>7</v>
      </c>
      <c r="AA93" s="234" t="s">
        <v>1</v>
      </c>
      <c r="AB93" s="236" t="s">
        <v>21</v>
      </c>
      <c r="AC93" s="237"/>
      <c r="AD93" s="232"/>
      <c r="AE93" s="236" t="s">
        <v>39</v>
      </c>
      <c r="AF93" s="232"/>
    </row>
    <row r="94" spans="2:32" ht="17.25" customHeight="1" x14ac:dyDescent="0.25">
      <c r="B94" s="321"/>
      <c r="C94" s="229"/>
      <c r="D94" s="230"/>
      <c r="E94" s="230"/>
      <c r="F94" s="230"/>
      <c r="G94" s="230"/>
      <c r="H94" s="230"/>
      <c r="I94" s="230"/>
      <c r="J94" s="230"/>
      <c r="K94" s="230"/>
      <c r="L94" s="230"/>
      <c r="M94" s="230"/>
      <c r="N94" s="230"/>
      <c r="O94" s="230"/>
      <c r="P94" s="230"/>
      <c r="Q94" s="230"/>
      <c r="R94" s="230"/>
      <c r="S94" s="230"/>
      <c r="T94" s="230"/>
      <c r="U94" s="230"/>
      <c r="V94" s="230"/>
      <c r="W94" s="230"/>
      <c r="X94" s="230"/>
      <c r="Y94" s="231"/>
      <c r="Z94" s="233"/>
      <c r="AA94" s="234"/>
      <c r="AB94" s="238"/>
      <c r="AC94" s="239"/>
      <c r="AD94" s="233"/>
      <c r="AE94" s="238"/>
      <c r="AF94" s="233"/>
    </row>
    <row r="95" spans="2:32" ht="17.25" customHeight="1" x14ac:dyDescent="0.25">
      <c r="B95" s="322"/>
      <c r="C95" s="243" t="s">
        <v>3</v>
      </c>
      <c r="D95" s="222"/>
      <c r="E95" s="222"/>
      <c r="F95" s="222"/>
      <c r="G95" s="243">
        <f>G66</f>
        <v>0</v>
      </c>
      <c r="H95" s="222"/>
      <c r="I95" s="222"/>
      <c r="J95" s="222"/>
      <c r="K95" s="222"/>
      <c r="L95" s="121"/>
      <c r="M95" s="121"/>
      <c r="N95" s="121"/>
      <c r="O95" s="121"/>
      <c r="P95" s="121"/>
      <c r="Q95" s="121"/>
      <c r="R95" s="121"/>
      <c r="S95" s="121"/>
      <c r="T95" s="121"/>
      <c r="U95" s="121"/>
      <c r="V95" s="121"/>
      <c r="W95" s="121"/>
      <c r="X95" s="121"/>
      <c r="Y95" s="121"/>
      <c r="Z95" s="234"/>
      <c r="AA95" s="235"/>
      <c r="AB95" s="240"/>
      <c r="AC95" s="241"/>
      <c r="AD95" s="242"/>
      <c r="AE95" s="238"/>
      <c r="AF95" s="233"/>
    </row>
    <row r="96" spans="2:32" ht="35.25" customHeight="1" x14ac:dyDescent="0.25">
      <c r="B96" s="68" t="s">
        <v>2</v>
      </c>
      <c r="C96" s="244" t="str">
        <f>C66</f>
        <v xml:space="preserve">Lock Box # </v>
      </c>
      <c r="D96" s="244"/>
      <c r="E96" s="244"/>
      <c r="F96" s="244"/>
      <c r="G96" s="244"/>
      <c r="H96" s="244"/>
      <c r="I96" s="244"/>
      <c r="J96" s="244"/>
      <c r="K96" s="244"/>
      <c r="L96" s="244"/>
      <c r="M96" s="244"/>
      <c r="N96" s="244"/>
      <c r="O96" s="244"/>
      <c r="P96" s="244"/>
      <c r="Q96" s="244"/>
      <c r="R96" s="244"/>
      <c r="S96" s="244"/>
      <c r="T96" s="244"/>
      <c r="U96" s="244"/>
      <c r="V96" s="244"/>
      <c r="W96" s="244"/>
      <c r="X96" s="244"/>
      <c r="Y96" s="80" t="s">
        <v>28</v>
      </c>
      <c r="Z96" s="235"/>
      <c r="AA96" s="79" t="s">
        <v>73</v>
      </c>
      <c r="AB96" s="79" t="s">
        <v>73</v>
      </c>
      <c r="AC96" s="245" t="s">
        <v>73</v>
      </c>
      <c r="AD96" s="246"/>
      <c r="AE96" s="240"/>
      <c r="AF96" s="242"/>
    </row>
    <row r="97" spans="2:32" ht="15" customHeight="1" x14ac:dyDescent="0.25">
      <c r="B97" s="78" t="str">
        <f>'Eid List Entry'!B54</f>
        <v xml:space="preserve"> </v>
      </c>
      <c r="C97" s="215">
        <f>'Eid List Entry'!C54</f>
        <v>0</v>
      </c>
      <c r="D97" s="216"/>
      <c r="E97" s="216"/>
      <c r="F97" s="216"/>
      <c r="G97" s="216"/>
      <c r="H97" s="216"/>
      <c r="I97" s="216"/>
      <c r="J97" s="216"/>
      <c r="K97" s="216"/>
      <c r="L97" s="216"/>
      <c r="M97" s="216"/>
      <c r="N97" s="216"/>
      <c r="O97" s="216"/>
      <c r="P97" s="216"/>
      <c r="Q97" s="216"/>
      <c r="R97" s="216"/>
      <c r="S97" s="216"/>
      <c r="T97" s="216"/>
      <c r="U97" s="216"/>
      <c r="V97" s="216"/>
      <c r="W97" s="216"/>
      <c r="X97" s="216"/>
      <c r="Y97" s="21">
        <f>'Eid List Entry'!E54</f>
        <v>0</v>
      </c>
      <c r="Z97" s="104">
        <f>'Eid List Entry'!D54</f>
        <v>0</v>
      </c>
      <c r="AA97" s="74"/>
      <c r="AB97" s="76"/>
      <c r="AC97" s="217"/>
      <c r="AD97" s="218"/>
      <c r="AE97" s="224"/>
      <c r="AF97" s="225"/>
    </row>
    <row r="98" spans="2:32" ht="15" customHeight="1" x14ac:dyDescent="0.25">
      <c r="B98" s="78" t="str">
        <f>'Eid List Entry'!B55</f>
        <v xml:space="preserve"> </v>
      </c>
      <c r="C98" s="215">
        <f>'Eid List Entry'!C55</f>
        <v>0</v>
      </c>
      <c r="D98" s="216"/>
      <c r="E98" s="216"/>
      <c r="F98" s="216"/>
      <c r="G98" s="216"/>
      <c r="H98" s="216"/>
      <c r="I98" s="216"/>
      <c r="J98" s="216"/>
      <c r="K98" s="216"/>
      <c r="L98" s="216"/>
      <c r="M98" s="216"/>
      <c r="N98" s="216"/>
      <c r="O98" s="216"/>
      <c r="P98" s="216"/>
      <c r="Q98" s="216"/>
      <c r="R98" s="216"/>
      <c r="S98" s="216"/>
      <c r="T98" s="216"/>
      <c r="U98" s="216"/>
      <c r="V98" s="216"/>
      <c r="W98" s="216"/>
      <c r="X98" s="216"/>
      <c r="Y98" s="21">
        <f>'Eid List Entry'!E55</f>
        <v>0</v>
      </c>
      <c r="Z98" s="104">
        <f>'Eid List Entry'!D55</f>
        <v>0</v>
      </c>
      <c r="AA98" s="74"/>
      <c r="AB98" s="76"/>
      <c r="AC98" s="217"/>
      <c r="AD98" s="218"/>
      <c r="AE98" s="219"/>
      <c r="AF98" s="218"/>
    </row>
    <row r="99" spans="2:32" ht="15" customHeight="1" x14ac:dyDescent="0.25">
      <c r="B99" s="78" t="str">
        <f>'Eid List Entry'!B56</f>
        <v xml:space="preserve"> </v>
      </c>
      <c r="C99" s="215">
        <f>'Eid List Entry'!C56</f>
        <v>0</v>
      </c>
      <c r="D99" s="216"/>
      <c r="E99" s="216"/>
      <c r="F99" s="216"/>
      <c r="G99" s="216"/>
      <c r="H99" s="216"/>
      <c r="I99" s="216"/>
      <c r="J99" s="216"/>
      <c r="K99" s="216"/>
      <c r="L99" s="216"/>
      <c r="M99" s="216"/>
      <c r="N99" s="216"/>
      <c r="O99" s="216"/>
      <c r="P99" s="216"/>
      <c r="Q99" s="216"/>
      <c r="R99" s="216"/>
      <c r="S99" s="216"/>
      <c r="T99" s="216"/>
      <c r="U99" s="216"/>
      <c r="V99" s="216"/>
      <c r="W99" s="216"/>
      <c r="X99" s="216"/>
      <c r="Y99" s="21">
        <f>'Eid List Entry'!E56</f>
        <v>0</v>
      </c>
      <c r="Z99" s="104">
        <f>'Eid List Entry'!D56</f>
        <v>0</v>
      </c>
      <c r="AA99" s="74"/>
      <c r="AB99" s="76"/>
      <c r="AC99" s="217"/>
      <c r="AD99" s="218"/>
      <c r="AE99" s="219"/>
      <c r="AF99" s="218"/>
    </row>
    <row r="100" spans="2:32" ht="15" customHeight="1" x14ac:dyDescent="0.25">
      <c r="B100" s="78" t="str">
        <f>'Eid List Entry'!B57</f>
        <v xml:space="preserve"> </v>
      </c>
      <c r="C100" s="215">
        <f>'Eid List Entry'!C57</f>
        <v>0</v>
      </c>
      <c r="D100" s="216"/>
      <c r="E100" s="216"/>
      <c r="F100" s="216"/>
      <c r="G100" s="216"/>
      <c r="H100" s="216"/>
      <c r="I100" s="216"/>
      <c r="J100" s="216"/>
      <c r="K100" s="216"/>
      <c r="L100" s="216"/>
      <c r="M100" s="216"/>
      <c r="N100" s="216"/>
      <c r="O100" s="216"/>
      <c r="P100" s="216"/>
      <c r="Q100" s="216"/>
      <c r="R100" s="216"/>
      <c r="S100" s="216"/>
      <c r="T100" s="216"/>
      <c r="U100" s="216"/>
      <c r="V100" s="216"/>
      <c r="W100" s="216"/>
      <c r="X100" s="216"/>
      <c r="Y100" s="21">
        <f>'Eid List Entry'!E57</f>
        <v>0</v>
      </c>
      <c r="Z100" s="104">
        <f>'Eid List Entry'!D57</f>
        <v>0</v>
      </c>
      <c r="AA100" s="74"/>
      <c r="AB100" s="76"/>
      <c r="AC100" s="217"/>
      <c r="AD100" s="218"/>
      <c r="AE100" s="219"/>
      <c r="AF100" s="218"/>
    </row>
    <row r="101" spans="2:32" ht="15" customHeight="1" x14ac:dyDescent="0.25">
      <c r="B101" s="78" t="str">
        <f>'Eid List Entry'!B58</f>
        <v xml:space="preserve"> </v>
      </c>
      <c r="C101" s="215">
        <f>'Eid List Entry'!C58</f>
        <v>0</v>
      </c>
      <c r="D101" s="216"/>
      <c r="E101" s="216"/>
      <c r="F101" s="216"/>
      <c r="G101" s="216"/>
      <c r="H101" s="216"/>
      <c r="I101" s="216"/>
      <c r="J101" s="216"/>
      <c r="K101" s="216"/>
      <c r="L101" s="216"/>
      <c r="M101" s="216"/>
      <c r="N101" s="216"/>
      <c r="O101" s="216"/>
      <c r="P101" s="216"/>
      <c r="Q101" s="216"/>
      <c r="R101" s="216"/>
      <c r="S101" s="216"/>
      <c r="T101" s="216"/>
      <c r="U101" s="216"/>
      <c r="V101" s="216"/>
      <c r="W101" s="216"/>
      <c r="X101" s="216"/>
      <c r="Y101" s="21">
        <f>'Eid List Entry'!E58</f>
        <v>0</v>
      </c>
      <c r="Z101" s="104">
        <f>'Eid List Entry'!D58</f>
        <v>0</v>
      </c>
      <c r="AA101" s="74"/>
      <c r="AB101" s="76"/>
      <c r="AC101" s="217"/>
      <c r="AD101" s="218"/>
      <c r="AE101" s="219"/>
      <c r="AF101" s="218"/>
    </row>
    <row r="102" spans="2:32" ht="15" customHeight="1" x14ac:dyDescent="0.25">
      <c r="B102" s="78" t="str">
        <f>'Eid List Entry'!B59</f>
        <v xml:space="preserve"> </v>
      </c>
      <c r="C102" s="215">
        <f>'Eid List Entry'!C59</f>
        <v>0</v>
      </c>
      <c r="D102" s="216"/>
      <c r="E102" s="216"/>
      <c r="F102" s="216"/>
      <c r="G102" s="216"/>
      <c r="H102" s="216"/>
      <c r="I102" s="216"/>
      <c r="J102" s="216"/>
      <c r="K102" s="216"/>
      <c r="L102" s="216"/>
      <c r="M102" s="216"/>
      <c r="N102" s="216"/>
      <c r="O102" s="216"/>
      <c r="P102" s="216"/>
      <c r="Q102" s="216"/>
      <c r="R102" s="216"/>
      <c r="S102" s="216"/>
      <c r="T102" s="216"/>
      <c r="U102" s="216"/>
      <c r="V102" s="216"/>
      <c r="W102" s="216"/>
      <c r="X102" s="216"/>
      <c r="Y102" s="21">
        <f>'Eid List Entry'!E59</f>
        <v>0</v>
      </c>
      <c r="Z102" s="104">
        <f>'Eid List Entry'!D59</f>
        <v>0</v>
      </c>
      <c r="AA102" s="74"/>
      <c r="AB102" s="76"/>
      <c r="AC102" s="217"/>
      <c r="AD102" s="218"/>
      <c r="AE102" s="219"/>
      <c r="AF102" s="218"/>
    </row>
    <row r="103" spans="2:32" ht="15" customHeight="1" x14ac:dyDescent="0.25">
      <c r="B103" s="78" t="str">
        <f>'Eid List Entry'!B60</f>
        <v xml:space="preserve"> </v>
      </c>
      <c r="C103" s="215">
        <f>'Eid List Entry'!C60</f>
        <v>0</v>
      </c>
      <c r="D103" s="216"/>
      <c r="E103" s="216"/>
      <c r="F103" s="216"/>
      <c r="G103" s="216"/>
      <c r="H103" s="216"/>
      <c r="I103" s="216"/>
      <c r="J103" s="216"/>
      <c r="K103" s="216"/>
      <c r="L103" s="216"/>
      <c r="M103" s="216"/>
      <c r="N103" s="216"/>
      <c r="O103" s="216"/>
      <c r="P103" s="216"/>
      <c r="Q103" s="216"/>
      <c r="R103" s="216"/>
      <c r="S103" s="216"/>
      <c r="T103" s="216"/>
      <c r="U103" s="216"/>
      <c r="V103" s="216"/>
      <c r="W103" s="216"/>
      <c r="X103" s="216"/>
      <c r="Y103" s="21">
        <f>'Eid List Entry'!E60</f>
        <v>0</v>
      </c>
      <c r="Z103" s="104">
        <f>'Eid List Entry'!D60</f>
        <v>0</v>
      </c>
      <c r="AA103" s="74"/>
      <c r="AB103" s="76"/>
      <c r="AC103" s="217"/>
      <c r="AD103" s="218"/>
      <c r="AE103" s="219"/>
      <c r="AF103" s="218"/>
    </row>
    <row r="104" spans="2:32" ht="15" customHeight="1" x14ac:dyDescent="0.25">
      <c r="B104" s="78" t="str">
        <f>'Eid List Entry'!B61</f>
        <v xml:space="preserve"> </v>
      </c>
      <c r="C104" s="215">
        <f>'Eid List Entry'!C61</f>
        <v>0</v>
      </c>
      <c r="D104" s="216"/>
      <c r="E104" s="216"/>
      <c r="F104" s="216"/>
      <c r="G104" s="216"/>
      <c r="H104" s="216"/>
      <c r="I104" s="216"/>
      <c r="J104" s="216"/>
      <c r="K104" s="216"/>
      <c r="L104" s="216"/>
      <c r="M104" s="216"/>
      <c r="N104" s="216"/>
      <c r="O104" s="216"/>
      <c r="P104" s="216"/>
      <c r="Q104" s="216"/>
      <c r="R104" s="216"/>
      <c r="S104" s="216"/>
      <c r="T104" s="216"/>
      <c r="U104" s="216"/>
      <c r="V104" s="216"/>
      <c r="W104" s="216"/>
      <c r="X104" s="216"/>
      <c r="Y104" s="21">
        <f>'Eid List Entry'!E61</f>
        <v>0</v>
      </c>
      <c r="Z104" s="104">
        <f>'Eid List Entry'!D61</f>
        <v>0</v>
      </c>
      <c r="AA104" s="74"/>
      <c r="AB104" s="76"/>
      <c r="AC104" s="217"/>
      <c r="AD104" s="218"/>
      <c r="AE104" s="219"/>
      <c r="AF104" s="218"/>
    </row>
    <row r="105" spans="2:32" ht="15" customHeight="1" x14ac:dyDescent="0.25">
      <c r="B105" s="78" t="str">
        <f>'Eid List Entry'!B62</f>
        <v xml:space="preserve"> </v>
      </c>
      <c r="C105" s="215">
        <f>'Eid List Entry'!C62</f>
        <v>0</v>
      </c>
      <c r="D105" s="216"/>
      <c r="E105" s="216"/>
      <c r="F105" s="216"/>
      <c r="G105" s="216"/>
      <c r="H105" s="216"/>
      <c r="I105" s="216"/>
      <c r="J105" s="216"/>
      <c r="K105" s="216"/>
      <c r="L105" s="216"/>
      <c r="M105" s="216"/>
      <c r="N105" s="216"/>
      <c r="O105" s="216"/>
      <c r="P105" s="216"/>
      <c r="Q105" s="216"/>
      <c r="R105" s="216"/>
      <c r="S105" s="216"/>
      <c r="T105" s="216"/>
      <c r="U105" s="216"/>
      <c r="V105" s="216"/>
      <c r="W105" s="216"/>
      <c r="X105" s="216"/>
      <c r="Y105" s="21">
        <f>'Eid List Entry'!E62</f>
        <v>0</v>
      </c>
      <c r="Z105" s="104">
        <f>'Eid List Entry'!D62</f>
        <v>0</v>
      </c>
      <c r="AA105" s="74"/>
      <c r="AB105" s="76"/>
      <c r="AC105" s="217"/>
      <c r="AD105" s="218"/>
      <c r="AE105" s="219"/>
      <c r="AF105" s="218"/>
    </row>
    <row r="106" spans="2:32" ht="15" customHeight="1" x14ac:dyDescent="0.25">
      <c r="B106" s="78" t="str">
        <f>'Eid List Entry'!B63</f>
        <v xml:space="preserve"> </v>
      </c>
      <c r="C106" s="215">
        <f>'Eid List Entry'!C63</f>
        <v>0</v>
      </c>
      <c r="D106" s="216"/>
      <c r="E106" s="216"/>
      <c r="F106" s="216"/>
      <c r="G106" s="216"/>
      <c r="H106" s="216"/>
      <c r="I106" s="216"/>
      <c r="J106" s="216"/>
      <c r="K106" s="216"/>
      <c r="L106" s="216"/>
      <c r="M106" s="216"/>
      <c r="N106" s="216"/>
      <c r="O106" s="216"/>
      <c r="P106" s="216"/>
      <c r="Q106" s="216"/>
      <c r="R106" s="216"/>
      <c r="S106" s="216"/>
      <c r="T106" s="216"/>
      <c r="U106" s="216"/>
      <c r="V106" s="216"/>
      <c r="W106" s="216"/>
      <c r="X106" s="216"/>
      <c r="Y106" s="21">
        <f>'Eid List Entry'!E63</f>
        <v>0</v>
      </c>
      <c r="Z106" s="104">
        <f>'Eid List Entry'!D63</f>
        <v>0</v>
      </c>
      <c r="AA106" s="74"/>
      <c r="AB106" s="76"/>
      <c r="AC106" s="217"/>
      <c r="AD106" s="218"/>
      <c r="AE106" s="219"/>
      <c r="AF106" s="218"/>
    </row>
    <row r="107" spans="2:32" ht="15" customHeight="1" x14ac:dyDescent="0.25">
      <c r="B107" s="78" t="str">
        <f>'Eid List Entry'!B64</f>
        <v xml:space="preserve"> </v>
      </c>
      <c r="C107" s="215">
        <f>'Eid List Entry'!C64</f>
        <v>0</v>
      </c>
      <c r="D107" s="216"/>
      <c r="E107" s="216"/>
      <c r="F107" s="216"/>
      <c r="G107" s="216"/>
      <c r="H107" s="216"/>
      <c r="I107" s="216"/>
      <c r="J107" s="216"/>
      <c r="K107" s="216"/>
      <c r="L107" s="216"/>
      <c r="M107" s="216"/>
      <c r="N107" s="216"/>
      <c r="O107" s="216"/>
      <c r="P107" s="216"/>
      <c r="Q107" s="216"/>
      <c r="R107" s="216"/>
      <c r="S107" s="216"/>
      <c r="T107" s="216"/>
      <c r="U107" s="216"/>
      <c r="V107" s="216"/>
      <c r="W107" s="216"/>
      <c r="X107" s="216"/>
      <c r="Y107" s="21">
        <f>'Eid List Entry'!E64</f>
        <v>0</v>
      </c>
      <c r="Z107" s="104">
        <f>'Eid List Entry'!D64</f>
        <v>0</v>
      </c>
      <c r="AA107" s="74"/>
      <c r="AB107" s="76"/>
      <c r="AC107" s="217"/>
      <c r="AD107" s="218"/>
      <c r="AE107" s="219"/>
      <c r="AF107" s="218"/>
    </row>
    <row r="108" spans="2:32" ht="15" customHeight="1" x14ac:dyDescent="0.25">
      <c r="B108" s="78" t="str">
        <f>'Eid List Entry'!B65</f>
        <v xml:space="preserve"> </v>
      </c>
      <c r="C108" s="215">
        <f>'Eid List Entry'!C65</f>
        <v>0</v>
      </c>
      <c r="D108" s="216"/>
      <c r="E108" s="216"/>
      <c r="F108" s="216"/>
      <c r="G108" s="216"/>
      <c r="H108" s="216"/>
      <c r="I108" s="216"/>
      <c r="J108" s="216"/>
      <c r="K108" s="216"/>
      <c r="L108" s="216"/>
      <c r="M108" s="216"/>
      <c r="N108" s="216"/>
      <c r="O108" s="216"/>
      <c r="P108" s="216"/>
      <c r="Q108" s="216"/>
      <c r="R108" s="216"/>
      <c r="S108" s="216"/>
      <c r="T108" s="216"/>
      <c r="U108" s="216"/>
      <c r="V108" s="216"/>
      <c r="W108" s="216"/>
      <c r="X108" s="216"/>
      <c r="Y108" s="21">
        <f>'Eid List Entry'!E65</f>
        <v>0</v>
      </c>
      <c r="Z108" s="104">
        <f>'Eid List Entry'!D65</f>
        <v>0</v>
      </c>
      <c r="AA108" s="81"/>
      <c r="AB108" s="82"/>
      <c r="AC108" s="220"/>
      <c r="AD108" s="221"/>
      <c r="AE108" s="222"/>
      <c r="AF108" s="223"/>
    </row>
    <row r="109" spans="2:32" ht="15" customHeight="1" x14ac:dyDescent="0.25">
      <c r="B109" s="78" t="str">
        <f>'Eid List Entry'!B66</f>
        <v xml:space="preserve"> </v>
      </c>
      <c r="C109" s="215">
        <f>'Eid List Entry'!C66</f>
        <v>0</v>
      </c>
      <c r="D109" s="216"/>
      <c r="E109" s="216"/>
      <c r="F109" s="216"/>
      <c r="G109" s="216"/>
      <c r="H109" s="216"/>
      <c r="I109" s="216"/>
      <c r="J109" s="216"/>
      <c r="K109" s="216"/>
      <c r="L109" s="216"/>
      <c r="M109" s="216"/>
      <c r="N109" s="216"/>
      <c r="O109" s="216"/>
      <c r="P109" s="216"/>
      <c r="Q109" s="216"/>
      <c r="R109" s="216"/>
      <c r="S109" s="216"/>
      <c r="T109" s="216"/>
      <c r="U109" s="216"/>
      <c r="V109" s="216"/>
      <c r="W109" s="216"/>
      <c r="X109" s="216"/>
      <c r="Y109" s="21">
        <f>'Eid List Entry'!E66</f>
        <v>0</v>
      </c>
      <c r="Z109" s="104">
        <f>'Eid List Entry'!D66</f>
        <v>0</v>
      </c>
      <c r="AA109" s="74"/>
      <c r="AB109" s="82"/>
      <c r="AC109" s="217"/>
      <c r="AD109" s="218"/>
      <c r="AE109" s="219"/>
      <c r="AF109" s="218"/>
    </row>
    <row r="110" spans="2:32" ht="15" customHeight="1" x14ac:dyDescent="0.25">
      <c r="B110" s="78" t="str">
        <f>'Eid List Entry'!B67</f>
        <v xml:space="preserve"> </v>
      </c>
      <c r="C110" s="215">
        <f>'Eid List Entry'!C67</f>
        <v>0</v>
      </c>
      <c r="D110" s="216"/>
      <c r="E110" s="216"/>
      <c r="F110" s="216"/>
      <c r="G110" s="216"/>
      <c r="H110" s="216"/>
      <c r="I110" s="216"/>
      <c r="J110" s="216"/>
      <c r="K110" s="216"/>
      <c r="L110" s="216"/>
      <c r="M110" s="216"/>
      <c r="N110" s="216"/>
      <c r="O110" s="216"/>
      <c r="P110" s="216"/>
      <c r="Q110" s="216"/>
      <c r="R110" s="216"/>
      <c r="S110" s="216"/>
      <c r="T110" s="216"/>
      <c r="U110" s="216"/>
      <c r="V110" s="216"/>
      <c r="W110" s="216"/>
      <c r="X110" s="216"/>
      <c r="Y110" s="21">
        <f>'Eid List Entry'!E67</f>
        <v>0</v>
      </c>
      <c r="Z110" s="104">
        <f>'Eid List Entry'!D67</f>
        <v>0</v>
      </c>
      <c r="AA110" s="74"/>
      <c r="AB110" s="76"/>
      <c r="AC110" s="217"/>
      <c r="AD110" s="218"/>
      <c r="AE110" s="219"/>
      <c r="AF110" s="218"/>
    </row>
    <row r="111" spans="2:32" ht="15" customHeight="1" x14ac:dyDescent="0.25">
      <c r="B111" s="78" t="str">
        <f>'Eid List Entry'!B68</f>
        <v xml:space="preserve"> </v>
      </c>
      <c r="C111" s="215">
        <f>'Eid List Entry'!C68</f>
        <v>0</v>
      </c>
      <c r="D111" s="216"/>
      <c r="E111" s="216"/>
      <c r="F111" s="216"/>
      <c r="G111" s="216"/>
      <c r="H111" s="216"/>
      <c r="I111" s="216"/>
      <c r="J111" s="216"/>
      <c r="K111" s="216"/>
      <c r="L111" s="216"/>
      <c r="M111" s="216"/>
      <c r="N111" s="216"/>
      <c r="O111" s="216"/>
      <c r="P111" s="216"/>
      <c r="Q111" s="216"/>
      <c r="R111" s="216"/>
      <c r="S111" s="216"/>
      <c r="T111" s="216"/>
      <c r="U111" s="216"/>
      <c r="V111" s="216"/>
      <c r="W111" s="216"/>
      <c r="X111" s="216"/>
      <c r="Y111" s="21">
        <f>'Eid List Entry'!E68</f>
        <v>0</v>
      </c>
      <c r="Z111" s="104">
        <f>'Eid List Entry'!D68</f>
        <v>0</v>
      </c>
      <c r="AA111" s="74"/>
      <c r="AB111" s="76"/>
      <c r="AC111" s="217"/>
      <c r="AD111" s="218"/>
      <c r="AE111" s="219"/>
      <c r="AF111" s="218"/>
    </row>
    <row r="112" spans="2:32" ht="15" customHeight="1" x14ac:dyDescent="0.25">
      <c r="B112" s="78" t="str">
        <f>'Eid List Entry'!B69</f>
        <v xml:space="preserve"> </v>
      </c>
      <c r="C112" s="215">
        <f>'Eid List Entry'!C69</f>
        <v>0</v>
      </c>
      <c r="D112" s="216"/>
      <c r="E112" s="216"/>
      <c r="F112" s="216"/>
      <c r="G112" s="216"/>
      <c r="H112" s="216"/>
      <c r="I112" s="216"/>
      <c r="J112" s="216"/>
      <c r="K112" s="216"/>
      <c r="L112" s="216"/>
      <c r="M112" s="216"/>
      <c r="N112" s="216"/>
      <c r="O112" s="216"/>
      <c r="P112" s="216"/>
      <c r="Q112" s="216"/>
      <c r="R112" s="216"/>
      <c r="S112" s="216"/>
      <c r="T112" s="216"/>
      <c r="U112" s="216"/>
      <c r="V112" s="216"/>
      <c r="W112" s="216"/>
      <c r="X112" s="216"/>
      <c r="Y112" s="21">
        <f>'Eid List Entry'!E69</f>
        <v>0</v>
      </c>
      <c r="Z112" s="104">
        <f>'Eid List Entry'!D69</f>
        <v>0</v>
      </c>
      <c r="AA112" s="74"/>
      <c r="AB112" s="76"/>
      <c r="AC112" s="217"/>
      <c r="AD112" s="218"/>
      <c r="AE112" s="219"/>
      <c r="AF112" s="218"/>
    </row>
    <row r="113" spans="2:32" ht="15" customHeight="1" x14ac:dyDescent="0.25">
      <c r="B113" s="78" t="str">
        <f>'Eid List Entry'!B70</f>
        <v xml:space="preserve"> </v>
      </c>
      <c r="C113" s="215">
        <f>'Eid List Entry'!C70</f>
        <v>0</v>
      </c>
      <c r="D113" s="216"/>
      <c r="E113" s="216"/>
      <c r="F113" s="216"/>
      <c r="G113" s="216"/>
      <c r="H113" s="216"/>
      <c r="I113" s="216"/>
      <c r="J113" s="216"/>
      <c r="K113" s="216"/>
      <c r="L113" s="216"/>
      <c r="M113" s="216"/>
      <c r="N113" s="216"/>
      <c r="O113" s="216"/>
      <c r="P113" s="216"/>
      <c r="Q113" s="216"/>
      <c r="R113" s="216"/>
      <c r="S113" s="216"/>
      <c r="T113" s="216"/>
      <c r="U113" s="216"/>
      <c r="V113" s="216"/>
      <c r="W113" s="216"/>
      <c r="X113" s="216"/>
      <c r="Y113" s="21">
        <f>'Eid List Entry'!E70</f>
        <v>0</v>
      </c>
      <c r="Z113" s="104">
        <f>'Eid List Entry'!D70</f>
        <v>0</v>
      </c>
      <c r="AA113" s="74"/>
      <c r="AB113" s="76"/>
      <c r="AC113" s="217"/>
      <c r="AD113" s="218"/>
      <c r="AE113" s="219"/>
      <c r="AF113" s="218"/>
    </row>
    <row r="114" spans="2:32" ht="15" customHeight="1" x14ac:dyDescent="0.25">
      <c r="B114" s="78" t="str">
        <f>'Eid List Entry'!B71</f>
        <v xml:space="preserve"> </v>
      </c>
      <c r="C114" s="215">
        <f>'Eid List Entry'!C71</f>
        <v>0</v>
      </c>
      <c r="D114" s="216"/>
      <c r="E114" s="216"/>
      <c r="F114" s="216"/>
      <c r="G114" s="216"/>
      <c r="H114" s="216"/>
      <c r="I114" s="216"/>
      <c r="J114" s="216"/>
      <c r="K114" s="216"/>
      <c r="L114" s="216"/>
      <c r="M114" s="216"/>
      <c r="N114" s="216"/>
      <c r="O114" s="216"/>
      <c r="P114" s="216"/>
      <c r="Q114" s="216"/>
      <c r="R114" s="216"/>
      <c r="S114" s="216"/>
      <c r="T114" s="216"/>
      <c r="U114" s="216"/>
      <c r="V114" s="216"/>
      <c r="W114" s="216"/>
      <c r="X114" s="216"/>
      <c r="Y114" s="21">
        <f>'Eid List Entry'!E71</f>
        <v>0</v>
      </c>
      <c r="Z114" s="104">
        <f>'Eid List Entry'!D71</f>
        <v>0</v>
      </c>
      <c r="AA114" s="74"/>
      <c r="AB114" s="76"/>
      <c r="AC114" s="217"/>
      <c r="AD114" s="218"/>
      <c r="AE114" s="219"/>
      <c r="AF114" s="218"/>
    </row>
    <row r="115" spans="2:32" ht="15" customHeight="1" x14ac:dyDescent="0.25">
      <c r="B115" s="78" t="str">
        <f>'Eid List Entry'!B72</f>
        <v xml:space="preserve"> </v>
      </c>
      <c r="C115" s="215">
        <f>'Eid List Entry'!C72</f>
        <v>0</v>
      </c>
      <c r="D115" s="216"/>
      <c r="E115" s="216"/>
      <c r="F115" s="216"/>
      <c r="G115" s="216"/>
      <c r="H115" s="216"/>
      <c r="I115" s="216"/>
      <c r="J115" s="216"/>
      <c r="K115" s="216"/>
      <c r="L115" s="216"/>
      <c r="M115" s="216"/>
      <c r="N115" s="216"/>
      <c r="O115" s="216"/>
      <c r="P115" s="216"/>
      <c r="Q115" s="216"/>
      <c r="R115" s="216"/>
      <c r="S115" s="216"/>
      <c r="T115" s="216"/>
      <c r="U115" s="216"/>
      <c r="V115" s="216"/>
      <c r="W115" s="216"/>
      <c r="X115" s="216"/>
      <c r="Y115" s="21">
        <f>'Eid List Entry'!E72</f>
        <v>0</v>
      </c>
      <c r="Z115" s="104">
        <f>'Eid List Entry'!D72</f>
        <v>0</v>
      </c>
      <c r="AA115" s="74"/>
      <c r="AB115" s="76"/>
      <c r="AC115" s="217"/>
      <c r="AD115" s="218"/>
      <c r="AE115" s="219"/>
      <c r="AF115" s="218"/>
    </row>
    <row r="116" spans="2:32" ht="15" customHeight="1" x14ac:dyDescent="0.25">
      <c r="B116" s="78" t="str">
        <f>'Eid List Entry'!B73</f>
        <v xml:space="preserve"> </v>
      </c>
      <c r="C116" s="215">
        <f>'Eid List Entry'!C73</f>
        <v>0</v>
      </c>
      <c r="D116" s="216"/>
      <c r="E116" s="216"/>
      <c r="F116" s="216"/>
      <c r="G116" s="216"/>
      <c r="H116" s="216"/>
      <c r="I116" s="216"/>
      <c r="J116" s="216"/>
      <c r="K116" s="216"/>
      <c r="L116" s="216"/>
      <c r="M116" s="216"/>
      <c r="N116" s="216"/>
      <c r="O116" s="216"/>
      <c r="P116" s="216"/>
      <c r="Q116" s="216"/>
      <c r="R116" s="216"/>
      <c r="S116" s="216"/>
      <c r="T116" s="216"/>
      <c r="U116" s="216"/>
      <c r="V116" s="216"/>
      <c r="W116" s="216"/>
      <c r="X116" s="216"/>
      <c r="Y116" s="21">
        <f>'Eid List Entry'!E73</f>
        <v>0</v>
      </c>
      <c r="Z116" s="104">
        <f>'Eid List Entry'!D73</f>
        <v>0</v>
      </c>
      <c r="AA116" s="74"/>
      <c r="AB116" s="76"/>
      <c r="AC116" s="217"/>
      <c r="AD116" s="218"/>
      <c r="AE116" s="219"/>
      <c r="AF116" s="218"/>
    </row>
    <row r="117" spans="2:32" ht="1.5" customHeight="1" x14ac:dyDescent="0.25">
      <c r="B117" s="12"/>
      <c r="C117" s="12"/>
      <c r="D117" s="12"/>
      <c r="E117" s="12"/>
      <c r="F117" s="12"/>
      <c r="G117" s="12"/>
      <c r="H117" s="12"/>
      <c r="I117" s="12"/>
      <c r="J117" s="12"/>
      <c r="K117" s="12"/>
      <c r="L117" s="12"/>
      <c r="M117" s="12"/>
      <c r="N117" s="12"/>
      <c r="O117" s="12"/>
      <c r="P117" s="12"/>
    </row>
    <row r="118" spans="2:32" ht="74.25" customHeight="1" x14ac:dyDescent="0.25">
      <c r="B118" s="12"/>
      <c r="C118" s="12"/>
      <c r="D118" s="12"/>
      <c r="E118" s="12"/>
      <c r="F118" s="12"/>
      <c r="G118" s="12"/>
      <c r="H118" s="12"/>
      <c r="I118" s="12"/>
      <c r="J118" s="12"/>
      <c r="K118" s="12"/>
      <c r="L118" s="12"/>
      <c r="M118" s="12"/>
      <c r="N118" s="12"/>
      <c r="O118" s="12"/>
      <c r="P118" s="12"/>
    </row>
    <row r="119" spans="2:32" ht="18" customHeight="1" x14ac:dyDescent="0.25">
      <c r="B119" s="160" t="s">
        <v>0</v>
      </c>
      <c r="C119" s="249" t="s">
        <v>9</v>
      </c>
      <c r="D119" s="250"/>
      <c r="E119" s="251">
        <f>E90</f>
        <v>1594</v>
      </c>
      <c r="F119" s="252"/>
      <c r="G119" s="252"/>
      <c r="H119" s="252"/>
      <c r="I119" s="252"/>
      <c r="J119" s="252"/>
      <c r="K119" s="252"/>
      <c r="L119" s="252"/>
      <c r="M119" s="252"/>
      <c r="N119" s="252"/>
      <c r="O119" s="252"/>
      <c r="P119" s="252"/>
      <c r="Q119" s="252"/>
      <c r="R119" s="252"/>
      <c r="S119" s="252"/>
      <c r="T119" s="252"/>
      <c r="U119" s="252"/>
      <c r="V119" s="252"/>
      <c r="W119" s="252"/>
      <c r="X119" s="252"/>
      <c r="Y119" s="252"/>
      <c r="Z119" s="253" t="s">
        <v>10</v>
      </c>
      <c r="AA119" s="254"/>
      <c r="AB119" s="259" t="s">
        <v>11</v>
      </c>
      <c r="AC119" s="260"/>
      <c r="AD119" s="261"/>
      <c r="AE119" s="288" t="s">
        <v>12</v>
      </c>
      <c r="AF119" s="289"/>
    </row>
    <row r="120" spans="2:32" ht="18" customHeight="1" x14ac:dyDescent="0.25">
      <c r="B120" s="161">
        <f ca="1">B91</f>
        <v>44621</v>
      </c>
      <c r="C120" s="274" t="s">
        <v>13</v>
      </c>
      <c r="D120" s="274"/>
      <c r="E120" s="274"/>
      <c r="F120" s="274"/>
      <c r="G120" s="274"/>
      <c r="H120" s="274"/>
      <c r="I120" s="274"/>
      <c r="J120" s="274"/>
      <c r="K120" s="274"/>
      <c r="L120" s="275">
        <f>L91</f>
        <v>0</v>
      </c>
      <c r="M120" s="275"/>
      <c r="N120" s="275"/>
      <c r="O120" s="275"/>
      <c r="P120" s="275"/>
      <c r="Q120" s="275"/>
      <c r="R120" s="275"/>
      <c r="S120" s="275"/>
      <c r="T120" s="275"/>
      <c r="U120" s="275"/>
      <c r="V120" s="275"/>
      <c r="W120" s="275"/>
      <c r="X120" s="275"/>
      <c r="Y120" s="275"/>
      <c r="Z120" s="255"/>
      <c r="AA120" s="256"/>
      <c r="AB120" s="262"/>
      <c r="AC120" s="263"/>
      <c r="AD120" s="264"/>
      <c r="AE120" s="290"/>
      <c r="AF120" s="291"/>
    </row>
    <row r="121" spans="2:32" ht="18" customHeight="1" x14ac:dyDescent="0.25">
      <c r="B121" s="159" t="s">
        <v>14</v>
      </c>
      <c r="C121" s="276" t="s">
        <v>15</v>
      </c>
      <c r="D121" s="277"/>
      <c r="E121" s="277"/>
      <c r="F121" s="278"/>
      <c r="G121" s="278">
        <f>G92</f>
        <v>0</v>
      </c>
      <c r="H121" s="278"/>
      <c r="I121" s="278"/>
      <c r="J121" s="278"/>
      <c r="K121" s="278"/>
      <c r="L121" s="278"/>
      <c r="M121" s="278"/>
      <c r="N121" s="278"/>
      <c r="O121" s="278"/>
      <c r="P121" s="278"/>
      <c r="Q121" s="278"/>
      <c r="R121" s="278"/>
      <c r="S121" s="278"/>
      <c r="T121" s="278"/>
      <c r="U121" s="278"/>
      <c r="V121" s="278"/>
      <c r="W121" s="278"/>
      <c r="X121" s="278"/>
      <c r="Y121" s="279"/>
      <c r="Z121" s="257"/>
      <c r="AA121" s="258"/>
      <c r="AB121" s="265"/>
      <c r="AC121" s="266"/>
      <c r="AD121" s="267"/>
      <c r="AE121" s="292"/>
      <c r="AF121" s="293"/>
    </row>
    <row r="122" spans="2:32" ht="18.75" customHeight="1" x14ac:dyDescent="0.25">
      <c r="B122" s="321" t="str">
        <f>_xlfn.CONCAT("5"," ","of"," ",IF(ISBLANK('Eid List Entry'!C14),1,
IF(ISBLANK('Eid List Entry'!C34),2,
IF(ISBLANK('Eid List Entry'!C54),3,
IF(ISBLANK('Eid List Entry'!C74),4,
IF(ISBLANK('Eid List Entry'!C94),5,
IF(ISBLANK('Eid List Entry'!C114),6,
IF(ISBLANK('Eid List Entry'!C134),7,
IF(ISBLANK('Eid List Entry'!C154),8,
IF(ISBLANK('Eid List Entry'!C174),9,
IF(ISBLANK('Eid List Entry'!C194),10,
IF(ISBLANK('Eid List Entry'!C214),11,
IF(ISBLANK('Eid List Entry'!C234),12,
IF(ISBLANK('Eid List Entry'!C254),13))))))))))))))</f>
        <v>5 of 1</v>
      </c>
      <c r="C122" s="280"/>
      <c r="D122" s="281"/>
      <c r="E122" s="281"/>
      <c r="F122" s="281"/>
      <c r="G122" s="281"/>
      <c r="H122" s="281"/>
      <c r="I122" s="281"/>
      <c r="J122" s="281"/>
      <c r="K122" s="281"/>
      <c r="L122" s="281"/>
      <c r="M122" s="281"/>
      <c r="N122" s="281"/>
      <c r="O122" s="281"/>
      <c r="P122" s="281"/>
      <c r="Q122" s="281"/>
      <c r="R122" s="281"/>
      <c r="S122" s="281"/>
      <c r="T122" s="281"/>
      <c r="U122" s="281"/>
      <c r="V122" s="281"/>
      <c r="W122" s="281"/>
      <c r="X122" s="281"/>
      <c r="Y122" s="282"/>
      <c r="Z122" s="286" t="s">
        <v>7</v>
      </c>
      <c r="AA122" s="234" t="s">
        <v>1</v>
      </c>
      <c r="AB122" s="236" t="s">
        <v>21</v>
      </c>
      <c r="AC122" s="237"/>
      <c r="AD122" s="232"/>
      <c r="AE122" s="236" t="s">
        <v>39</v>
      </c>
      <c r="AF122" s="232"/>
    </row>
    <row r="123" spans="2:32" ht="17.25" customHeight="1" x14ac:dyDescent="0.25">
      <c r="B123" s="321"/>
      <c r="C123" s="283"/>
      <c r="D123" s="284"/>
      <c r="E123" s="284"/>
      <c r="F123" s="284"/>
      <c r="G123" s="284"/>
      <c r="H123" s="284"/>
      <c r="I123" s="284"/>
      <c r="J123" s="284"/>
      <c r="K123" s="284"/>
      <c r="L123" s="284"/>
      <c r="M123" s="284"/>
      <c r="N123" s="284"/>
      <c r="O123" s="284"/>
      <c r="P123" s="284"/>
      <c r="Q123" s="284"/>
      <c r="R123" s="284"/>
      <c r="S123" s="284"/>
      <c r="T123" s="284"/>
      <c r="U123" s="284"/>
      <c r="V123" s="284"/>
      <c r="W123" s="284"/>
      <c r="X123" s="284"/>
      <c r="Y123" s="285"/>
      <c r="Z123" s="234"/>
      <c r="AA123" s="234"/>
      <c r="AB123" s="238"/>
      <c r="AC123" s="239"/>
      <c r="AD123" s="233"/>
      <c r="AE123" s="238"/>
      <c r="AF123" s="233"/>
    </row>
    <row r="124" spans="2:32" ht="17.25" customHeight="1" x14ac:dyDescent="0.25">
      <c r="B124" s="322"/>
      <c r="C124" s="287" t="s">
        <v>3</v>
      </c>
      <c r="D124" s="224"/>
      <c r="E124" s="224"/>
      <c r="F124" s="224"/>
      <c r="G124" s="287">
        <f>G95</f>
        <v>0</v>
      </c>
      <c r="H124" s="224"/>
      <c r="I124" s="224"/>
      <c r="J124" s="224"/>
      <c r="K124" s="224"/>
      <c r="L124" s="77"/>
      <c r="M124" s="77"/>
      <c r="N124" s="77"/>
      <c r="O124" s="77"/>
      <c r="P124" s="77"/>
      <c r="Q124" s="77"/>
      <c r="R124" s="77"/>
      <c r="S124" s="77"/>
      <c r="T124" s="77"/>
      <c r="U124" s="77"/>
      <c r="V124" s="77"/>
      <c r="W124" s="77"/>
      <c r="X124" s="77"/>
      <c r="Y124" s="77"/>
      <c r="Z124" s="234"/>
      <c r="AA124" s="235"/>
      <c r="AB124" s="240"/>
      <c r="AC124" s="241"/>
      <c r="AD124" s="242"/>
      <c r="AE124" s="238"/>
      <c r="AF124" s="233"/>
    </row>
    <row r="125" spans="2:32" ht="36.75" customHeight="1" x14ac:dyDescent="0.25">
      <c r="B125" s="68" t="s">
        <v>2</v>
      </c>
      <c r="C125" s="244" t="str">
        <f>C95</f>
        <v xml:space="preserve">Lock Box # </v>
      </c>
      <c r="D125" s="244"/>
      <c r="E125" s="244"/>
      <c r="F125" s="244"/>
      <c r="G125" s="244"/>
      <c r="H125" s="244"/>
      <c r="I125" s="244"/>
      <c r="J125" s="244"/>
      <c r="K125" s="244"/>
      <c r="L125" s="244"/>
      <c r="M125" s="244"/>
      <c r="N125" s="244"/>
      <c r="O125" s="244"/>
      <c r="P125" s="244"/>
      <c r="Q125" s="244"/>
      <c r="R125" s="244"/>
      <c r="S125" s="244"/>
      <c r="T125" s="244"/>
      <c r="U125" s="244"/>
      <c r="V125" s="244"/>
      <c r="W125" s="244"/>
      <c r="X125" s="244"/>
      <c r="Y125" s="80" t="s">
        <v>28</v>
      </c>
      <c r="Z125" s="235"/>
      <c r="AA125" s="79" t="s">
        <v>73</v>
      </c>
      <c r="AB125" s="79" t="s">
        <v>73</v>
      </c>
      <c r="AC125" s="245" t="s">
        <v>73</v>
      </c>
      <c r="AD125" s="246"/>
      <c r="AE125" s="240"/>
      <c r="AF125" s="242"/>
    </row>
    <row r="126" spans="2:32" ht="15" customHeight="1" x14ac:dyDescent="0.25">
      <c r="B126" s="78" t="str">
        <f>'Eid List Entry'!B74</f>
        <v xml:space="preserve"> </v>
      </c>
      <c r="C126" s="215">
        <f>'Eid List Entry'!C74</f>
        <v>0</v>
      </c>
      <c r="D126" s="216"/>
      <c r="E126" s="216"/>
      <c r="F126" s="216"/>
      <c r="G126" s="216"/>
      <c r="H126" s="216"/>
      <c r="I126" s="216"/>
      <c r="J126" s="216"/>
      <c r="K126" s="216"/>
      <c r="L126" s="216"/>
      <c r="M126" s="216"/>
      <c r="N126" s="216"/>
      <c r="O126" s="216"/>
      <c r="P126" s="216"/>
      <c r="Q126" s="216"/>
      <c r="R126" s="216"/>
      <c r="S126" s="216"/>
      <c r="T126" s="216"/>
      <c r="U126" s="216"/>
      <c r="V126" s="216"/>
      <c r="W126" s="216"/>
      <c r="X126" s="216"/>
      <c r="Y126" s="21">
        <f>'Eid List Entry'!E74</f>
        <v>0</v>
      </c>
      <c r="Z126" s="104">
        <f>'Eid List Entry'!D74</f>
        <v>0</v>
      </c>
      <c r="AA126" s="128"/>
      <c r="AB126" s="76"/>
      <c r="AC126" s="217"/>
      <c r="AD126" s="218"/>
      <c r="AE126" s="224"/>
      <c r="AF126" s="225"/>
    </row>
    <row r="127" spans="2:32" ht="15" customHeight="1" x14ac:dyDescent="0.25">
      <c r="B127" s="78" t="str">
        <f>'Eid List Entry'!B75</f>
        <v xml:space="preserve"> </v>
      </c>
      <c r="C127" s="215">
        <f>'Eid List Entry'!C75</f>
        <v>0</v>
      </c>
      <c r="D127" s="216"/>
      <c r="E127" s="216"/>
      <c r="F127" s="216"/>
      <c r="G127" s="216"/>
      <c r="H127" s="216"/>
      <c r="I127" s="216"/>
      <c r="J127" s="216"/>
      <c r="K127" s="216"/>
      <c r="L127" s="216"/>
      <c r="M127" s="216"/>
      <c r="N127" s="216"/>
      <c r="O127" s="216"/>
      <c r="P127" s="216"/>
      <c r="Q127" s="216"/>
      <c r="R127" s="216"/>
      <c r="S127" s="216"/>
      <c r="T127" s="216"/>
      <c r="U127" s="216"/>
      <c r="V127" s="216"/>
      <c r="W127" s="216"/>
      <c r="X127" s="216"/>
      <c r="Y127" s="21">
        <f>'Eid List Entry'!E75</f>
        <v>0</v>
      </c>
      <c r="Z127" s="104">
        <f>'Eid List Entry'!D75</f>
        <v>0</v>
      </c>
      <c r="AA127" s="128"/>
      <c r="AB127" s="76"/>
      <c r="AC127" s="217"/>
      <c r="AD127" s="218"/>
      <c r="AE127" s="219"/>
      <c r="AF127" s="218"/>
    </row>
    <row r="128" spans="2:32" ht="15" customHeight="1" x14ac:dyDescent="0.25">
      <c r="B128" s="78" t="str">
        <f>'Eid List Entry'!B76</f>
        <v xml:space="preserve"> </v>
      </c>
      <c r="C128" s="215">
        <f>'Eid List Entry'!C76</f>
        <v>0</v>
      </c>
      <c r="D128" s="216"/>
      <c r="E128" s="216"/>
      <c r="F128" s="216"/>
      <c r="G128" s="216"/>
      <c r="H128" s="216"/>
      <c r="I128" s="216"/>
      <c r="J128" s="216"/>
      <c r="K128" s="216"/>
      <c r="L128" s="216"/>
      <c r="M128" s="216"/>
      <c r="N128" s="216"/>
      <c r="O128" s="216"/>
      <c r="P128" s="216"/>
      <c r="Q128" s="216"/>
      <c r="R128" s="216"/>
      <c r="S128" s="216"/>
      <c r="T128" s="216"/>
      <c r="U128" s="216"/>
      <c r="V128" s="216"/>
      <c r="W128" s="216"/>
      <c r="X128" s="216"/>
      <c r="Y128" s="21">
        <f>'Eid List Entry'!E76</f>
        <v>0</v>
      </c>
      <c r="Z128" s="104">
        <f>'Eid List Entry'!D76</f>
        <v>0</v>
      </c>
      <c r="AA128" s="128"/>
      <c r="AB128" s="76"/>
      <c r="AC128" s="217"/>
      <c r="AD128" s="218"/>
      <c r="AE128" s="219"/>
      <c r="AF128" s="218"/>
    </row>
    <row r="129" spans="2:32" ht="15" customHeight="1" x14ac:dyDescent="0.25">
      <c r="B129" s="78" t="str">
        <f>'Eid List Entry'!B77</f>
        <v xml:space="preserve"> </v>
      </c>
      <c r="C129" s="215">
        <f>'Eid List Entry'!C77</f>
        <v>0</v>
      </c>
      <c r="D129" s="216"/>
      <c r="E129" s="216"/>
      <c r="F129" s="216"/>
      <c r="G129" s="216"/>
      <c r="H129" s="216"/>
      <c r="I129" s="216"/>
      <c r="J129" s="216"/>
      <c r="K129" s="216"/>
      <c r="L129" s="216"/>
      <c r="M129" s="216"/>
      <c r="N129" s="216"/>
      <c r="O129" s="216"/>
      <c r="P129" s="216"/>
      <c r="Q129" s="216"/>
      <c r="R129" s="216"/>
      <c r="S129" s="216"/>
      <c r="T129" s="216"/>
      <c r="U129" s="216"/>
      <c r="V129" s="216"/>
      <c r="W129" s="216"/>
      <c r="X129" s="216"/>
      <c r="Y129" s="21">
        <f>'Eid List Entry'!E77</f>
        <v>0</v>
      </c>
      <c r="Z129" s="104">
        <f>'Eid List Entry'!D77</f>
        <v>0</v>
      </c>
      <c r="AA129" s="128"/>
      <c r="AB129" s="76"/>
      <c r="AC129" s="217"/>
      <c r="AD129" s="218"/>
      <c r="AE129" s="219"/>
      <c r="AF129" s="218"/>
    </row>
    <row r="130" spans="2:32" ht="15" customHeight="1" x14ac:dyDescent="0.25">
      <c r="B130" s="78" t="str">
        <f>'Eid List Entry'!B78</f>
        <v xml:space="preserve"> </v>
      </c>
      <c r="C130" s="215">
        <f>'Eid List Entry'!C78</f>
        <v>0</v>
      </c>
      <c r="D130" s="216"/>
      <c r="E130" s="216"/>
      <c r="F130" s="216"/>
      <c r="G130" s="216"/>
      <c r="H130" s="216"/>
      <c r="I130" s="216"/>
      <c r="J130" s="216"/>
      <c r="K130" s="216"/>
      <c r="L130" s="216"/>
      <c r="M130" s="216"/>
      <c r="N130" s="216"/>
      <c r="O130" s="216"/>
      <c r="P130" s="216"/>
      <c r="Q130" s="216"/>
      <c r="R130" s="216"/>
      <c r="S130" s="216"/>
      <c r="T130" s="216"/>
      <c r="U130" s="216"/>
      <c r="V130" s="216"/>
      <c r="W130" s="216"/>
      <c r="X130" s="216"/>
      <c r="Y130" s="21">
        <f>'Eid List Entry'!E78</f>
        <v>0</v>
      </c>
      <c r="Z130" s="104">
        <f>'Eid List Entry'!D78</f>
        <v>0</v>
      </c>
      <c r="AA130" s="128"/>
      <c r="AB130" s="76"/>
      <c r="AC130" s="217"/>
      <c r="AD130" s="218"/>
      <c r="AE130" s="219"/>
      <c r="AF130" s="218"/>
    </row>
    <row r="131" spans="2:32" ht="15" customHeight="1" x14ac:dyDescent="0.25">
      <c r="B131" s="78" t="str">
        <f>'Eid List Entry'!B79</f>
        <v xml:space="preserve"> </v>
      </c>
      <c r="C131" s="215">
        <f>'Eid List Entry'!C79</f>
        <v>0</v>
      </c>
      <c r="D131" s="216"/>
      <c r="E131" s="216"/>
      <c r="F131" s="216"/>
      <c r="G131" s="216"/>
      <c r="H131" s="216"/>
      <c r="I131" s="216"/>
      <c r="J131" s="216"/>
      <c r="K131" s="216"/>
      <c r="L131" s="216"/>
      <c r="M131" s="216"/>
      <c r="N131" s="216"/>
      <c r="O131" s="216"/>
      <c r="P131" s="216"/>
      <c r="Q131" s="216"/>
      <c r="R131" s="216"/>
      <c r="S131" s="216"/>
      <c r="T131" s="216"/>
      <c r="U131" s="216"/>
      <c r="V131" s="216"/>
      <c r="W131" s="216"/>
      <c r="X131" s="216"/>
      <c r="Y131" s="21">
        <f>'Eid List Entry'!E79</f>
        <v>0</v>
      </c>
      <c r="Z131" s="104">
        <f>'Eid List Entry'!D79</f>
        <v>0</v>
      </c>
      <c r="AA131" s="128"/>
      <c r="AB131" s="76"/>
      <c r="AC131" s="217"/>
      <c r="AD131" s="218"/>
      <c r="AE131" s="219"/>
      <c r="AF131" s="218"/>
    </row>
    <row r="132" spans="2:32" ht="15" customHeight="1" x14ac:dyDescent="0.25">
      <c r="B132" s="78" t="str">
        <f>'Eid List Entry'!B80</f>
        <v xml:space="preserve"> </v>
      </c>
      <c r="C132" s="215">
        <f>'Eid List Entry'!C80</f>
        <v>0</v>
      </c>
      <c r="D132" s="216"/>
      <c r="E132" s="216"/>
      <c r="F132" s="216"/>
      <c r="G132" s="216"/>
      <c r="H132" s="216"/>
      <c r="I132" s="216"/>
      <c r="J132" s="216"/>
      <c r="K132" s="216"/>
      <c r="L132" s="216"/>
      <c r="M132" s="216"/>
      <c r="N132" s="216"/>
      <c r="O132" s="216"/>
      <c r="P132" s="216"/>
      <c r="Q132" s="216"/>
      <c r="R132" s="216"/>
      <c r="S132" s="216"/>
      <c r="T132" s="216"/>
      <c r="U132" s="216"/>
      <c r="V132" s="216"/>
      <c r="W132" s="216"/>
      <c r="X132" s="216"/>
      <c r="Y132" s="21">
        <f>'Eid List Entry'!E80</f>
        <v>0</v>
      </c>
      <c r="Z132" s="104">
        <f>'Eid List Entry'!D80</f>
        <v>0</v>
      </c>
      <c r="AA132" s="128"/>
      <c r="AB132" s="76"/>
      <c r="AC132" s="217"/>
      <c r="AD132" s="218"/>
      <c r="AE132" s="219"/>
      <c r="AF132" s="218"/>
    </row>
    <row r="133" spans="2:32" ht="15" customHeight="1" x14ac:dyDescent="0.25">
      <c r="B133" s="78" t="str">
        <f>'Eid List Entry'!B81</f>
        <v xml:space="preserve"> </v>
      </c>
      <c r="C133" s="215">
        <f>'Eid List Entry'!C81</f>
        <v>0</v>
      </c>
      <c r="D133" s="216"/>
      <c r="E133" s="216"/>
      <c r="F133" s="216"/>
      <c r="G133" s="216"/>
      <c r="H133" s="216"/>
      <c r="I133" s="216"/>
      <c r="J133" s="216"/>
      <c r="K133" s="216"/>
      <c r="L133" s="216"/>
      <c r="M133" s="216"/>
      <c r="N133" s="216"/>
      <c r="O133" s="216"/>
      <c r="P133" s="216"/>
      <c r="Q133" s="216"/>
      <c r="R133" s="216"/>
      <c r="S133" s="216"/>
      <c r="T133" s="216"/>
      <c r="U133" s="216"/>
      <c r="V133" s="216"/>
      <c r="W133" s="216"/>
      <c r="X133" s="216"/>
      <c r="Y133" s="21">
        <f>'Eid List Entry'!E81</f>
        <v>0</v>
      </c>
      <c r="Z133" s="104">
        <f>'Eid List Entry'!D81</f>
        <v>0</v>
      </c>
      <c r="AA133" s="128"/>
      <c r="AB133" s="76"/>
      <c r="AC133" s="217"/>
      <c r="AD133" s="218"/>
      <c r="AE133" s="219"/>
      <c r="AF133" s="218"/>
    </row>
    <row r="134" spans="2:32" ht="15" customHeight="1" x14ac:dyDescent="0.25">
      <c r="B134" s="78" t="str">
        <f>'Eid List Entry'!B82</f>
        <v xml:space="preserve"> </v>
      </c>
      <c r="C134" s="215">
        <f>'Eid List Entry'!C82</f>
        <v>0</v>
      </c>
      <c r="D134" s="216"/>
      <c r="E134" s="216"/>
      <c r="F134" s="216"/>
      <c r="G134" s="216"/>
      <c r="H134" s="216"/>
      <c r="I134" s="216"/>
      <c r="J134" s="216"/>
      <c r="K134" s="216"/>
      <c r="L134" s="216"/>
      <c r="M134" s="216"/>
      <c r="N134" s="216"/>
      <c r="O134" s="216"/>
      <c r="P134" s="216"/>
      <c r="Q134" s="216"/>
      <c r="R134" s="216"/>
      <c r="S134" s="216"/>
      <c r="T134" s="216"/>
      <c r="U134" s="216"/>
      <c r="V134" s="216"/>
      <c r="W134" s="216"/>
      <c r="X134" s="216"/>
      <c r="Y134" s="21">
        <f>'Eid List Entry'!E82</f>
        <v>0</v>
      </c>
      <c r="Z134" s="104">
        <f>'Eid List Entry'!D82</f>
        <v>0</v>
      </c>
      <c r="AA134" s="128"/>
      <c r="AB134" s="76"/>
      <c r="AC134" s="217"/>
      <c r="AD134" s="218"/>
      <c r="AE134" s="219"/>
      <c r="AF134" s="218"/>
    </row>
    <row r="135" spans="2:32" ht="15" customHeight="1" x14ac:dyDescent="0.25">
      <c r="B135" s="78" t="str">
        <f>'Eid List Entry'!B83</f>
        <v xml:space="preserve"> </v>
      </c>
      <c r="C135" s="215">
        <f>'Eid List Entry'!C83</f>
        <v>0</v>
      </c>
      <c r="D135" s="216"/>
      <c r="E135" s="216"/>
      <c r="F135" s="216"/>
      <c r="G135" s="216"/>
      <c r="H135" s="216"/>
      <c r="I135" s="216"/>
      <c r="J135" s="216"/>
      <c r="K135" s="216"/>
      <c r="L135" s="216"/>
      <c r="M135" s="216"/>
      <c r="N135" s="216"/>
      <c r="O135" s="216"/>
      <c r="P135" s="216"/>
      <c r="Q135" s="216"/>
      <c r="R135" s="216"/>
      <c r="S135" s="216"/>
      <c r="T135" s="216"/>
      <c r="U135" s="216"/>
      <c r="V135" s="216"/>
      <c r="W135" s="216"/>
      <c r="X135" s="216"/>
      <c r="Y135" s="21">
        <f>'Eid List Entry'!E83</f>
        <v>0</v>
      </c>
      <c r="Z135" s="104">
        <f>'Eid List Entry'!D83</f>
        <v>0</v>
      </c>
      <c r="AA135" s="128"/>
      <c r="AB135" s="76"/>
      <c r="AC135" s="217"/>
      <c r="AD135" s="218"/>
      <c r="AE135" s="219"/>
      <c r="AF135" s="218"/>
    </row>
    <row r="136" spans="2:32" ht="15" customHeight="1" x14ac:dyDescent="0.25">
      <c r="B136" s="78" t="str">
        <f>'Eid List Entry'!B84</f>
        <v xml:space="preserve"> </v>
      </c>
      <c r="C136" s="215">
        <f>'Eid List Entry'!C84</f>
        <v>0</v>
      </c>
      <c r="D136" s="216"/>
      <c r="E136" s="216"/>
      <c r="F136" s="216"/>
      <c r="G136" s="216"/>
      <c r="H136" s="216"/>
      <c r="I136" s="216"/>
      <c r="J136" s="216"/>
      <c r="K136" s="216"/>
      <c r="L136" s="216"/>
      <c r="M136" s="216"/>
      <c r="N136" s="216"/>
      <c r="O136" s="216"/>
      <c r="P136" s="216"/>
      <c r="Q136" s="216"/>
      <c r="R136" s="216"/>
      <c r="S136" s="216"/>
      <c r="T136" s="216"/>
      <c r="U136" s="216"/>
      <c r="V136" s="216"/>
      <c r="W136" s="216"/>
      <c r="X136" s="216"/>
      <c r="Y136" s="21">
        <f>'Eid List Entry'!E84</f>
        <v>0</v>
      </c>
      <c r="Z136" s="104">
        <f>'Eid List Entry'!D84</f>
        <v>0</v>
      </c>
      <c r="AA136" s="128"/>
      <c r="AB136" s="76"/>
      <c r="AC136" s="217"/>
      <c r="AD136" s="218"/>
      <c r="AE136" s="219"/>
      <c r="AF136" s="218"/>
    </row>
    <row r="137" spans="2:32" ht="15" customHeight="1" x14ac:dyDescent="0.25">
      <c r="B137" s="78" t="str">
        <f>'Eid List Entry'!B85</f>
        <v xml:space="preserve"> </v>
      </c>
      <c r="C137" s="215">
        <f>'Eid List Entry'!C85</f>
        <v>0</v>
      </c>
      <c r="D137" s="216"/>
      <c r="E137" s="216"/>
      <c r="F137" s="216"/>
      <c r="G137" s="216"/>
      <c r="H137" s="216"/>
      <c r="I137" s="216"/>
      <c r="J137" s="216"/>
      <c r="K137" s="216"/>
      <c r="L137" s="216"/>
      <c r="M137" s="216"/>
      <c r="N137" s="216"/>
      <c r="O137" s="216"/>
      <c r="P137" s="216"/>
      <c r="Q137" s="216"/>
      <c r="R137" s="216"/>
      <c r="S137" s="216"/>
      <c r="T137" s="216"/>
      <c r="U137" s="216"/>
      <c r="V137" s="216"/>
      <c r="W137" s="216"/>
      <c r="X137" s="216"/>
      <c r="Y137" s="21">
        <f>'Eid List Entry'!E85</f>
        <v>0</v>
      </c>
      <c r="Z137" s="104">
        <f>'Eid List Entry'!D85</f>
        <v>0</v>
      </c>
      <c r="AA137" s="81"/>
      <c r="AB137" s="82"/>
      <c r="AC137" s="220"/>
      <c r="AD137" s="221"/>
      <c r="AE137" s="222"/>
      <c r="AF137" s="223"/>
    </row>
    <row r="138" spans="2:32" ht="15" customHeight="1" x14ac:dyDescent="0.25">
      <c r="B138" s="78" t="str">
        <f>'Eid List Entry'!B86</f>
        <v xml:space="preserve"> </v>
      </c>
      <c r="C138" s="215">
        <f>'Eid List Entry'!C86</f>
        <v>0</v>
      </c>
      <c r="D138" s="216"/>
      <c r="E138" s="216"/>
      <c r="F138" s="216"/>
      <c r="G138" s="216"/>
      <c r="H138" s="216"/>
      <c r="I138" s="216"/>
      <c r="J138" s="216"/>
      <c r="K138" s="216"/>
      <c r="L138" s="216"/>
      <c r="M138" s="216"/>
      <c r="N138" s="216"/>
      <c r="O138" s="216"/>
      <c r="P138" s="216"/>
      <c r="Q138" s="216"/>
      <c r="R138" s="216"/>
      <c r="S138" s="216"/>
      <c r="T138" s="216"/>
      <c r="U138" s="216"/>
      <c r="V138" s="216"/>
      <c r="W138" s="216"/>
      <c r="X138" s="216"/>
      <c r="Y138" s="21">
        <f>'Eid List Entry'!E86</f>
        <v>0</v>
      </c>
      <c r="Z138" s="104">
        <f>'Eid List Entry'!D86</f>
        <v>0</v>
      </c>
      <c r="AA138" s="128"/>
      <c r="AB138" s="82"/>
      <c r="AC138" s="217"/>
      <c r="AD138" s="218"/>
      <c r="AE138" s="219"/>
      <c r="AF138" s="218"/>
    </row>
    <row r="139" spans="2:32" ht="15" customHeight="1" x14ac:dyDescent="0.25">
      <c r="B139" s="78" t="str">
        <f>'Eid List Entry'!B87</f>
        <v xml:space="preserve"> </v>
      </c>
      <c r="C139" s="215">
        <f>'Eid List Entry'!C87</f>
        <v>0</v>
      </c>
      <c r="D139" s="216"/>
      <c r="E139" s="216"/>
      <c r="F139" s="216"/>
      <c r="G139" s="216"/>
      <c r="H139" s="216"/>
      <c r="I139" s="216"/>
      <c r="J139" s="216"/>
      <c r="K139" s="216"/>
      <c r="L139" s="216"/>
      <c r="M139" s="216"/>
      <c r="N139" s="216"/>
      <c r="O139" s="216"/>
      <c r="P139" s="216"/>
      <c r="Q139" s="216"/>
      <c r="R139" s="216"/>
      <c r="S139" s="216"/>
      <c r="T139" s="216"/>
      <c r="U139" s="216"/>
      <c r="V139" s="216"/>
      <c r="W139" s="216"/>
      <c r="X139" s="216"/>
      <c r="Y139" s="21">
        <f>'Eid List Entry'!E87</f>
        <v>0</v>
      </c>
      <c r="Z139" s="104">
        <f>'Eid List Entry'!D87</f>
        <v>0</v>
      </c>
      <c r="AA139" s="128"/>
      <c r="AB139" s="76"/>
      <c r="AC139" s="217"/>
      <c r="AD139" s="218"/>
      <c r="AE139" s="219"/>
      <c r="AF139" s="218"/>
    </row>
    <row r="140" spans="2:32" ht="15" customHeight="1" x14ac:dyDescent="0.25">
      <c r="B140" s="78" t="str">
        <f>'Eid List Entry'!B88</f>
        <v xml:space="preserve"> </v>
      </c>
      <c r="C140" s="215">
        <f>'Eid List Entry'!C88</f>
        <v>0</v>
      </c>
      <c r="D140" s="216"/>
      <c r="E140" s="216"/>
      <c r="F140" s="216"/>
      <c r="G140" s="216"/>
      <c r="H140" s="216"/>
      <c r="I140" s="216"/>
      <c r="J140" s="216"/>
      <c r="K140" s="216"/>
      <c r="L140" s="216"/>
      <c r="M140" s="216"/>
      <c r="N140" s="216"/>
      <c r="O140" s="216"/>
      <c r="P140" s="216"/>
      <c r="Q140" s="216"/>
      <c r="R140" s="216"/>
      <c r="S140" s="216"/>
      <c r="T140" s="216"/>
      <c r="U140" s="216"/>
      <c r="V140" s="216"/>
      <c r="W140" s="216"/>
      <c r="X140" s="216"/>
      <c r="Y140" s="21">
        <f>'Eid List Entry'!E88</f>
        <v>0</v>
      </c>
      <c r="Z140" s="104">
        <f>'Eid List Entry'!D88</f>
        <v>0</v>
      </c>
      <c r="AA140" s="128"/>
      <c r="AB140" s="76"/>
      <c r="AC140" s="217"/>
      <c r="AD140" s="218"/>
      <c r="AE140" s="219"/>
      <c r="AF140" s="218"/>
    </row>
    <row r="141" spans="2:32" ht="15" customHeight="1" x14ac:dyDescent="0.25">
      <c r="B141" s="78" t="str">
        <f>'Eid List Entry'!B89</f>
        <v xml:space="preserve"> </v>
      </c>
      <c r="C141" s="215">
        <f>'Eid List Entry'!C89</f>
        <v>0</v>
      </c>
      <c r="D141" s="216"/>
      <c r="E141" s="216"/>
      <c r="F141" s="216"/>
      <c r="G141" s="216"/>
      <c r="H141" s="216"/>
      <c r="I141" s="216"/>
      <c r="J141" s="216"/>
      <c r="K141" s="216"/>
      <c r="L141" s="216"/>
      <c r="M141" s="216"/>
      <c r="N141" s="216"/>
      <c r="O141" s="216"/>
      <c r="P141" s="216"/>
      <c r="Q141" s="216"/>
      <c r="R141" s="216"/>
      <c r="S141" s="216"/>
      <c r="T141" s="216"/>
      <c r="U141" s="216"/>
      <c r="V141" s="216"/>
      <c r="W141" s="216"/>
      <c r="X141" s="216"/>
      <c r="Y141" s="21">
        <f>'Eid List Entry'!E89</f>
        <v>0</v>
      </c>
      <c r="Z141" s="104">
        <f>'Eid List Entry'!D89</f>
        <v>0</v>
      </c>
      <c r="AA141" s="128"/>
      <c r="AB141" s="76"/>
      <c r="AC141" s="217"/>
      <c r="AD141" s="218"/>
      <c r="AE141" s="219"/>
      <c r="AF141" s="218"/>
    </row>
    <row r="142" spans="2:32" ht="15" customHeight="1" x14ac:dyDescent="0.25">
      <c r="B142" s="78" t="str">
        <f>'Eid List Entry'!B90</f>
        <v xml:space="preserve"> </v>
      </c>
      <c r="C142" s="215">
        <f>'Eid List Entry'!C90</f>
        <v>0</v>
      </c>
      <c r="D142" s="216"/>
      <c r="E142" s="216"/>
      <c r="F142" s="216"/>
      <c r="G142" s="216"/>
      <c r="H142" s="216"/>
      <c r="I142" s="216"/>
      <c r="J142" s="216"/>
      <c r="K142" s="216"/>
      <c r="L142" s="216"/>
      <c r="M142" s="216"/>
      <c r="N142" s="216"/>
      <c r="O142" s="216"/>
      <c r="P142" s="216"/>
      <c r="Q142" s="216"/>
      <c r="R142" s="216"/>
      <c r="S142" s="216"/>
      <c r="T142" s="216"/>
      <c r="U142" s="216"/>
      <c r="V142" s="216"/>
      <c r="W142" s="216"/>
      <c r="X142" s="216"/>
      <c r="Y142" s="21">
        <f>'Eid List Entry'!E90</f>
        <v>0</v>
      </c>
      <c r="Z142" s="104">
        <f>'Eid List Entry'!D90</f>
        <v>0</v>
      </c>
      <c r="AA142" s="128"/>
      <c r="AB142" s="76"/>
      <c r="AC142" s="217"/>
      <c r="AD142" s="218"/>
      <c r="AE142" s="219"/>
      <c r="AF142" s="218"/>
    </row>
    <row r="143" spans="2:32" ht="15" customHeight="1" x14ac:dyDescent="0.25">
      <c r="B143" s="78" t="str">
        <f>'Eid List Entry'!B91</f>
        <v xml:space="preserve"> </v>
      </c>
      <c r="C143" s="215">
        <f>'Eid List Entry'!C91</f>
        <v>0</v>
      </c>
      <c r="D143" s="216"/>
      <c r="E143" s="216"/>
      <c r="F143" s="216"/>
      <c r="G143" s="216"/>
      <c r="H143" s="216"/>
      <c r="I143" s="216"/>
      <c r="J143" s="216"/>
      <c r="K143" s="216"/>
      <c r="L143" s="216"/>
      <c r="M143" s="216"/>
      <c r="N143" s="216"/>
      <c r="O143" s="216"/>
      <c r="P143" s="216"/>
      <c r="Q143" s="216"/>
      <c r="R143" s="216"/>
      <c r="S143" s="216"/>
      <c r="T143" s="216"/>
      <c r="U143" s="216"/>
      <c r="V143" s="216"/>
      <c r="W143" s="216"/>
      <c r="X143" s="216"/>
      <c r="Y143" s="21">
        <f>'Eid List Entry'!E91</f>
        <v>0</v>
      </c>
      <c r="Z143" s="104">
        <f>'Eid List Entry'!D91</f>
        <v>0</v>
      </c>
      <c r="AA143" s="128"/>
      <c r="AB143" s="76"/>
      <c r="AC143" s="217"/>
      <c r="AD143" s="218"/>
      <c r="AE143" s="219"/>
      <c r="AF143" s="218"/>
    </row>
    <row r="144" spans="2:32" ht="15" customHeight="1" x14ac:dyDescent="0.25">
      <c r="B144" s="78" t="str">
        <f>'Eid List Entry'!B92</f>
        <v xml:space="preserve"> </v>
      </c>
      <c r="C144" s="215">
        <f>'Eid List Entry'!C92</f>
        <v>0</v>
      </c>
      <c r="D144" s="216"/>
      <c r="E144" s="216"/>
      <c r="F144" s="216"/>
      <c r="G144" s="216"/>
      <c r="H144" s="216"/>
      <c r="I144" s="216"/>
      <c r="J144" s="216"/>
      <c r="K144" s="216"/>
      <c r="L144" s="216"/>
      <c r="M144" s="216"/>
      <c r="N144" s="216"/>
      <c r="O144" s="216"/>
      <c r="P144" s="216"/>
      <c r="Q144" s="216"/>
      <c r="R144" s="216"/>
      <c r="S144" s="216"/>
      <c r="T144" s="216"/>
      <c r="U144" s="216"/>
      <c r="V144" s="216"/>
      <c r="W144" s="216"/>
      <c r="X144" s="216"/>
      <c r="Y144" s="21">
        <f>'Eid List Entry'!E92</f>
        <v>0</v>
      </c>
      <c r="Z144" s="104">
        <f>'Eid List Entry'!D92</f>
        <v>0</v>
      </c>
      <c r="AA144" s="128"/>
      <c r="AB144" s="76"/>
      <c r="AC144" s="217"/>
      <c r="AD144" s="218"/>
      <c r="AE144" s="219"/>
      <c r="AF144" s="218"/>
    </row>
    <row r="145" spans="2:34" ht="15" customHeight="1" x14ac:dyDescent="0.25">
      <c r="B145" s="78" t="str">
        <f>'Eid List Entry'!B93</f>
        <v xml:space="preserve"> </v>
      </c>
      <c r="C145" s="215">
        <f>'Eid List Entry'!C93</f>
        <v>0</v>
      </c>
      <c r="D145" s="216"/>
      <c r="E145" s="216"/>
      <c r="F145" s="216"/>
      <c r="G145" s="216"/>
      <c r="H145" s="216"/>
      <c r="I145" s="216"/>
      <c r="J145" s="216"/>
      <c r="K145" s="216"/>
      <c r="L145" s="216"/>
      <c r="M145" s="216"/>
      <c r="N145" s="216"/>
      <c r="O145" s="216"/>
      <c r="P145" s="216"/>
      <c r="Q145" s="216"/>
      <c r="R145" s="216"/>
      <c r="S145" s="216"/>
      <c r="T145" s="216"/>
      <c r="U145" s="216"/>
      <c r="V145" s="216"/>
      <c r="W145" s="216"/>
      <c r="X145" s="216"/>
      <c r="Y145" s="21">
        <f>'Eid List Entry'!E93</f>
        <v>0</v>
      </c>
      <c r="Z145" s="104">
        <f>'Eid List Entry'!D93</f>
        <v>0</v>
      </c>
      <c r="AA145" s="128"/>
      <c r="AB145" s="76"/>
      <c r="AC145" s="217"/>
      <c r="AD145" s="218"/>
      <c r="AE145" s="219"/>
      <c r="AF145" s="218"/>
    </row>
    <row r="146" spans="2:34" ht="0.75" customHeight="1" x14ac:dyDescent="0.25">
      <c r="B146" s="78" t="str">
        <f>'Eid List Entry'!B94</f>
        <v xml:space="preserve"> </v>
      </c>
      <c r="C146" s="26" t="s">
        <v>70</v>
      </c>
      <c r="D146" s="26"/>
      <c r="E146" s="26"/>
      <c r="F146" s="26"/>
      <c r="G146" s="26"/>
      <c r="H146" s="26"/>
      <c r="I146" s="26"/>
      <c r="J146" s="26"/>
      <c r="K146" s="26"/>
      <c r="L146" s="26"/>
      <c r="M146" s="26"/>
      <c r="N146" s="26"/>
      <c r="O146" s="26"/>
      <c r="P146" s="26"/>
      <c r="Q146" s="26"/>
      <c r="R146" s="26"/>
      <c r="S146" s="26"/>
      <c r="T146" s="26"/>
      <c r="U146" s="26"/>
      <c r="V146" s="26"/>
      <c r="W146" s="26"/>
      <c r="X146" s="26"/>
      <c r="Y146" s="24" t="s">
        <v>70</v>
      </c>
      <c r="Z146" s="25" t="s">
        <v>70</v>
      </c>
      <c r="AA146" s="10"/>
      <c r="AB146" s="10"/>
      <c r="AC146" s="9"/>
      <c r="AD146" s="9"/>
      <c r="AE146" s="9"/>
      <c r="AF146" s="9"/>
      <c r="AG146" s="7"/>
      <c r="AH146" s="7"/>
    </row>
    <row r="147" spans="2:34" ht="78" customHeight="1" x14ac:dyDescent="0.25">
      <c r="B147" s="12"/>
      <c r="C147" s="12"/>
      <c r="D147" s="12"/>
      <c r="E147" s="12"/>
      <c r="F147" s="12"/>
      <c r="G147" s="12"/>
      <c r="H147" s="12"/>
      <c r="I147" s="12"/>
      <c r="J147" s="12"/>
      <c r="K147" s="12"/>
      <c r="L147" s="12"/>
      <c r="M147" s="12"/>
      <c r="N147" s="12"/>
      <c r="O147" s="12"/>
      <c r="P147" s="12"/>
    </row>
    <row r="148" spans="2:34" ht="18" customHeight="1" x14ac:dyDescent="0.25">
      <c r="B148" s="160" t="s">
        <v>0</v>
      </c>
      <c r="C148" s="249" t="s">
        <v>9</v>
      </c>
      <c r="D148" s="250"/>
      <c r="E148" s="251">
        <f>E119</f>
        <v>1594</v>
      </c>
      <c r="F148" s="252"/>
      <c r="G148" s="252"/>
      <c r="H148" s="252"/>
      <c r="I148" s="252"/>
      <c r="J148" s="252"/>
      <c r="K148" s="252"/>
      <c r="L148" s="252"/>
      <c r="M148" s="252"/>
      <c r="N148" s="252"/>
      <c r="O148" s="252"/>
      <c r="P148" s="252"/>
      <c r="Q148" s="252"/>
      <c r="R148" s="252"/>
      <c r="S148" s="252"/>
      <c r="T148" s="252"/>
      <c r="U148" s="252"/>
      <c r="V148" s="252"/>
      <c r="W148" s="252"/>
      <c r="X148" s="252"/>
      <c r="Y148" s="252"/>
      <c r="Z148" s="253" t="s">
        <v>10</v>
      </c>
      <c r="AA148" s="254"/>
      <c r="AB148" s="259" t="s">
        <v>11</v>
      </c>
      <c r="AC148" s="260"/>
      <c r="AD148" s="261"/>
      <c r="AE148" s="268" t="s">
        <v>12</v>
      </c>
      <c r="AF148" s="269"/>
    </row>
    <row r="149" spans="2:34" ht="18" customHeight="1" x14ac:dyDescent="0.25">
      <c r="B149" s="161">
        <f ca="1">B120</f>
        <v>44621</v>
      </c>
      <c r="C149" s="274" t="s">
        <v>13</v>
      </c>
      <c r="D149" s="274"/>
      <c r="E149" s="274"/>
      <c r="F149" s="274"/>
      <c r="G149" s="274"/>
      <c r="H149" s="274"/>
      <c r="I149" s="274"/>
      <c r="J149" s="274"/>
      <c r="K149" s="274"/>
      <c r="L149" s="275">
        <f>L120</f>
        <v>0</v>
      </c>
      <c r="M149" s="275"/>
      <c r="N149" s="275"/>
      <c r="O149" s="275"/>
      <c r="P149" s="275"/>
      <c r="Q149" s="275"/>
      <c r="R149" s="275"/>
      <c r="S149" s="275"/>
      <c r="T149" s="275"/>
      <c r="U149" s="275"/>
      <c r="V149" s="275"/>
      <c r="W149" s="275"/>
      <c r="X149" s="275"/>
      <c r="Y149" s="275"/>
      <c r="Z149" s="255"/>
      <c r="AA149" s="256"/>
      <c r="AB149" s="262"/>
      <c r="AC149" s="263"/>
      <c r="AD149" s="264"/>
      <c r="AE149" s="270"/>
      <c r="AF149" s="271"/>
    </row>
    <row r="150" spans="2:34" ht="18" customHeight="1" x14ac:dyDescent="0.25">
      <c r="B150" s="159" t="s">
        <v>14</v>
      </c>
      <c r="C150" s="276" t="s">
        <v>15</v>
      </c>
      <c r="D150" s="277"/>
      <c r="E150" s="277"/>
      <c r="F150" s="278"/>
      <c r="G150" s="278">
        <f>G121</f>
        <v>0</v>
      </c>
      <c r="H150" s="278"/>
      <c r="I150" s="278"/>
      <c r="J150" s="278"/>
      <c r="K150" s="278"/>
      <c r="L150" s="278"/>
      <c r="M150" s="278"/>
      <c r="N150" s="278"/>
      <c r="O150" s="278"/>
      <c r="P150" s="278"/>
      <c r="Q150" s="278"/>
      <c r="R150" s="278"/>
      <c r="S150" s="278"/>
      <c r="T150" s="278"/>
      <c r="U150" s="278"/>
      <c r="V150" s="278"/>
      <c r="W150" s="278"/>
      <c r="X150" s="278"/>
      <c r="Y150" s="279"/>
      <c r="Z150" s="257"/>
      <c r="AA150" s="258"/>
      <c r="AB150" s="265"/>
      <c r="AC150" s="266"/>
      <c r="AD150" s="267"/>
      <c r="AE150" s="272"/>
      <c r="AF150" s="273"/>
    </row>
    <row r="151" spans="2:34" ht="18.75" customHeight="1" x14ac:dyDescent="0.25">
      <c r="B151" s="321" t="str">
        <f>_xlfn.CONCAT("6"," ","of"," ",IF(ISBLANK('Eid List Entry'!C14),1,
IF(ISBLANK('Eid List Entry'!C34),2,
IF(ISBLANK('Eid List Entry'!C54),3,
IF(ISBLANK('Eid List Entry'!C74),4,
IF(ISBLANK('Eid List Entry'!C94),5,
IF(ISBLANK('Eid List Entry'!C114),6,
IF(ISBLANK('Eid List Entry'!C134),7,
IF(ISBLANK('Eid List Entry'!C154),8,
IF(ISBLANK('Eid List Entry'!C174),9,
IF(ISBLANK('Eid List Entry'!C194),10,
IF(ISBLANK('Eid List Entry'!C214),11,
IF(ISBLANK('Eid List Entry'!C234),12,
IF(ISBLANK('Eid List Entry'!C254),13))))))))))))))</f>
        <v>6 of 1</v>
      </c>
      <c r="C151" s="226"/>
      <c r="D151" s="227"/>
      <c r="E151" s="227"/>
      <c r="F151" s="227"/>
      <c r="G151" s="227"/>
      <c r="H151" s="227"/>
      <c r="I151" s="227"/>
      <c r="J151" s="227"/>
      <c r="K151" s="227"/>
      <c r="L151" s="227"/>
      <c r="M151" s="227"/>
      <c r="N151" s="227"/>
      <c r="O151" s="227"/>
      <c r="P151" s="227"/>
      <c r="Q151" s="227"/>
      <c r="R151" s="227"/>
      <c r="S151" s="227"/>
      <c r="T151" s="227"/>
      <c r="U151" s="227"/>
      <c r="V151" s="227"/>
      <c r="W151" s="227"/>
      <c r="X151" s="227"/>
      <c r="Y151" s="228"/>
      <c r="Z151" s="232" t="s">
        <v>7</v>
      </c>
      <c r="AA151" s="234" t="s">
        <v>1</v>
      </c>
      <c r="AB151" s="236" t="s">
        <v>21</v>
      </c>
      <c r="AC151" s="237"/>
      <c r="AD151" s="232"/>
      <c r="AE151" s="236" t="s">
        <v>39</v>
      </c>
      <c r="AF151" s="232"/>
    </row>
    <row r="152" spans="2:34" ht="17.25" customHeight="1" x14ac:dyDescent="0.25">
      <c r="B152" s="321"/>
      <c r="C152" s="229"/>
      <c r="D152" s="230"/>
      <c r="E152" s="230"/>
      <c r="F152" s="230"/>
      <c r="G152" s="230"/>
      <c r="H152" s="230"/>
      <c r="I152" s="230"/>
      <c r="J152" s="230"/>
      <c r="K152" s="230"/>
      <c r="L152" s="230"/>
      <c r="M152" s="230"/>
      <c r="N152" s="230"/>
      <c r="O152" s="230"/>
      <c r="P152" s="230"/>
      <c r="Q152" s="230"/>
      <c r="R152" s="230"/>
      <c r="S152" s="230"/>
      <c r="T152" s="230"/>
      <c r="U152" s="230"/>
      <c r="V152" s="230"/>
      <c r="W152" s="230"/>
      <c r="X152" s="230"/>
      <c r="Y152" s="231"/>
      <c r="Z152" s="233"/>
      <c r="AA152" s="234"/>
      <c r="AB152" s="238"/>
      <c r="AC152" s="239"/>
      <c r="AD152" s="233"/>
      <c r="AE152" s="238"/>
      <c r="AF152" s="233"/>
    </row>
    <row r="153" spans="2:34" ht="17.25" customHeight="1" x14ac:dyDescent="0.25">
      <c r="B153" s="322"/>
      <c r="C153" s="243" t="s">
        <v>3</v>
      </c>
      <c r="D153" s="222"/>
      <c r="E153" s="222"/>
      <c r="F153" s="222"/>
      <c r="G153" s="243">
        <f>G124</f>
        <v>0</v>
      </c>
      <c r="H153" s="222"/>
      <c r="I153" s="222"/>
      <c r="J153" s="222"/>
      <c r="K153" s="222"/>
      <c r="L153" s="121"/>
      <c r="M153" s="121"/>
      <c r="N153" s="121"/>
      <c r="O153" s="121"/>
      <c r="P153" s="121"/>
      <c r="Q153" s="121"/>
      <c r="R153" s="121"/>
      <c r="S153" s="121"/>
      <c r="T153" s="121"/>
      <c r="U153" s="121"/>
      <c r="V153" s="121"/>
      <c r="W153" s="121"/>
      <c r="X153" s="121"/>
      <c r="Y153" s="121"/>
      <c r="Z153" s="234"/>
      <c r="AA153" s="235"/>
      <c r="AB153" s="240"/>
      <c r="AC153" s="241"/>
      <c r="AD153" s="242"/>
      <c r="AE153" s="238"/>
      <c r="AF153" s="233"/>
    </row>
    <row r="154" spans="2:34" ht="33.75" customHeight="1" x14ac:dyDescent="0.25">
      <c r="B154" s="68" t="s">
        <v>2</v>
      </c>
      <c r="C154" s="244" t="str">
        <f>C124</f>
        <v xml:space="preserve">Lock Box # </v>
      </c>
      <c r="D154" s="244"/>
      <c r="E154" s="244"/>
      <c r="F154" s="244"/>
      <c r="G154" s="244"/>
      <c r="H154" s="244"/>
      <c r="I154" s="244"/>
      <c r="J154" s="244"/>
      <c r="K154" s="244"/>
      <c r="L154" s="244"/>
      <c r="M154" s="244"/>
      <c r="N154" s="244"/>
      <c r="O154" s="244"/>
      <c r="P154" s="244"/>
      <c r="Q154" s="244"/>
      <c r="R154" s="244"/>
      <c r="S154" s="244"/>
      <c r="T154" s="244"/>
      <c r="U154" s="244"/>
      <c r="V154" s="244"/>
      <c r="W154" s="244"/>
      <c r="X154" s="244"/>
      <c r="Y154" s="80" t="s">
        <v>28</v>
      </c>
      <c r="Z154" s="235"/>
      <c r="AA154" s="79" t="s">
        <v>73</v>
      </c>
      <c r="AB154" s="79" t="s">
        <v>73</v>
      </c>
      <c r="AC154" s="245" t="s">
        <v>73</v>
      </c>
      <c r="AD154" s="246"/>
      <c r="AE154" s="240"/>
      <c r="AF154" s="242"/>
    </row>
    <row r="155" spans="2:34" ht="15" customHeight="1" x14ac:dyDescent="0.25">
      <c r="B155" s="78" t="str">
        <f>'Eid List Entry'!B94</f>
        <v xml:space="preserve"> </v>
      </c>
      <c r="C155" s="215">
        <f>'Eid List Entry'!C94</f>
        <v>0</v>
      </c>
      <c r="D155" s="216"/>
      <c r="E155" s="216"/>
      <c r="F155" s="216"/>
      <c r="G155" s="216"/>
      <c r="H155" s="216"/>
      <c r="I155" s="216"/>
      <c r="J155" s="216"/>
      <c r="K155" s="216"/>
      <c r="L155" s="216"/>
      <c r="M155" s="216"/>
      <c r="N155" s="216"/>
      <c r="O155" s="216"/>
      <c r="P155" s="216"/>
      <c r="Q155" s="216"/>
      <c r="R155" s="216"/>
      <c r="S155" s="216"/>
      <c r="T155" s="216"/>
      <c r="U155" s="216"/>
      <c r="V155" s="216"/>
      <c r="W155" s="216"/>
      <c r="X155" s="216"/>
      <c r="Y155" s="21">
        <f>'Eid List Entry'!E94</f>
        <v>0</v>
      </c>
      <c r="Z155" s="104">
        <f>'Eid List Entry'!D94</f>
        <v>0</v>
      </c>
      <c r="AA155" s="128"/>
      <c r="AB155" s="76"/>
      <c r="AC155" s="217"/>
      <c r="AD155" s="218"/>
      <c r="AE155" s="224"/>
      <c r="AF155" s="225"/>
    </row>
    <row r="156" spans="2:34" ht="15" customHeight="1" x14ac:dyDescent="0.25">
      <c r="B156" s="78" t="str">
        <f>'Eid List Entry'!B95</f>
        <v xml:space="preserve"> </v>
      </c>
      <c r="C156" s="215">
        <f>'Eid List Entry'!C95</f>
        <v>0</v>
      </c>
      <c r="D156" s="216"/>
      <c r="E156" s="216"/>
      <c r="F156" s="216"/>
      <c r="G156" s="216"/>
      <c r="H156" s="216"/>
      <c r="I156" s="216"/>
      <c r="J156" s="216"/>
      <c r="K156" s="216"/>
      <c r="L156" s="216"/>
      <c r="M156" s="216"/>
      <c r="N156" s="216"/>
      <c r="O156" s="216"/>
      <c r="P156" s="216"/>
      <c r="Q156" s="216"/>
      <c r="R156" s="216"/>
      <c r="S156" s="216"/>
      <c r="T156" s="216"/>
      <c r="U156" s="216"/>
      <c r="V156" s="216"/>
      <c r="W156" s="216"/>
      <c r="X156" s="216"/>
      <c r="Y156" s="21">
        <f>'Eid List Entry'!E95</f>
        <v>0</v>
      </c>
      <c r="Z156" s="104">
        <f>'Eid List Entry'!D95</f>
        <v>0</v>
      </c>
      <c r="AA156" s="128"/>
      <c r="AB156" s="76"/>
      <c r="AC156" s="217"/>
      <c r="AD156" s="218"/>
      <c r="AE156" s="219"/>
      <c r="AF156" s="218"/>
    </row>
    <row r="157" spans="2:34" ht="15" customHeight="1" x14ac:dyDescent="0.25">
      <c r="B157" s="78" t="str">
        <f>'Eid List Entry'!B96</f>
        <v xml:space="preserve"> </v>
      </c>
      <c r="C157" s="215">
        <f>'Eid List Entry'!C96</f>
        <v>0</v>
      </c>
      <c r="D157" s="216"/>
      <c r="E157" s="216"/>
      <c r="F157" s="216"/>
      <c r="G157" s="216"/>
      <c r="H157" s="216"/>
      <c r="I157" s="216"/>
      <c r="J157" s="216"/>
      <c r="K157" s="216"/>
      <c r="L157" s="216"/>
      <c r="M157" s="216"/>
      <c r="N157" s="216"/>
      <c r="O157" s="216"/>
      <c r="P157" s="216"/>
      <c r="Q157" s="216"/>
      <c r="R157" s="216"/>
      <c r="S157" s="216"/>
      <c r="T157" s="216"/>
      <c r="U157" s="216"/>
      <c r="V157" s="216"/>
      <c r="W157" s="216"/>
      <c r="X157" s="216"/>
      <c r="Y157" s="21">
        <f>'Eid List Entry'!E96</f>
        <v>0</v>
      </c>
      <c r="Z157" s="104">
        <f>'Eid List Entry'!D96</f>
        <v>0</v>
      </c>
      <c r="AA157" s="128"/>
      <c r="AB157" s="76"/>
      <c r="AC157" s="217"/>
      <c r="AD157" s="218"/>
      <c r="AE157" s="219"/>
      <c r="AF157" s="218"/>
    </row>
    <row r="158" spans="2:34" ht="15" customHeight="1" x14ac:dyDescent="0.25">
      <c r="B158" s="78" t="str">
        <f>'Eid List Entry'!B97</f>
        <v xml:space="preserve"> </v>
      </c>
      <c r="C158" s="215">
        <f>'Eid List Entry'!C97</f>
        <v>0</v>
      </c>
      <c r="D158" s="216"/>
      <c r="E158" s="216"/>
      <c r="F158" s="216"/>
      <c r="G158" s="216"/>
      <c r="H158" s="216"/>
      <c r="I158" s="216"/>
      <c r="J158" s="216"/>
      <c r="K158" s="216"/>
      <c r="L158" s="216"/>
      <c r="M158" s="216"/>
      <c r="N158" s="216"/>
      <c r="O158" s="216"/>
      <c r="P158" s="216"/>
      <c r="Q158" s="216"/>
      <c r="R158" s="216"/>
      <c r="S158" s="216"/>
      <c r="T158" s="216"/>
      <c r="U158" s="216"/>
      <c r="V158" s="216"/>
      <c r="W158" s="216"/>
      <c r="X158" s="216"/>
      <c r="Y158" s="21">
        <f>'Eid List Entry'!E97</f>
        <v>0</v>
      </c>
      <c r="Z158" s="104">
        <f>'Eid List Entry'!D97</f>
        <v>0</v>
      </c>
      <c r="AA158" s="128"/>
      <c r="AB158" s="76"/>
      <c r="AC158" s="217"/>
      <c r="AD158" s="218"/>
      <c r="AE158" s="219"/>
      <c r="AF158" s="218"/>
    </row>
    <row r="159" spans="2:34" ht="15" customHeight="1" x14ac:dyDescent="0.25">
      <c r="B159" s="78" t="str">
        <f>'Eid List Entry'!B98</f>
        <v xml:space="preserve"> </v>
      </c>
      <c r="C159" s="215">
        <f>'Eid List Entry'!C98</f>
        <v>0</v>
      </c>
      <c r="D159" s="216"/>
      <c r="E159" s="216"/>
      <c r="F159" s="216"/>
      <c r="G159" s="216"/>
      <c r="H159" s="216"/>
      <c r="I159" s="216"/>
      <c r="J159" s="216"/>
      <c r="K159" s="216"/>
      <c r="L159" s="216"/>
      <c r="M159" s="216"/>
      <c r="N159" s="216"/>
      <c r="O159" s="216"/>
      <c r="P159" s="216"/>
      <c r="Q159" s="216"/>
      <c r="R159" s="216"/>
      <c r="S159" s="216"/>
      <c r="T159" s="216"/>
      <c r="U159" s="216"/>
      <c r="V159" s="216"/>
      <c r="W159" s="216"/>
      <c r="X159" s="216"/>
      <c r="Y159" s="21">
        <f>'Eid List Entry'!E98</f>
        <v>0</v>
      </c>
      <c r="Z159" s="104">
        <f>'Eid List Entry'!D98</f>
        <v>0</v>
      </c>
      <c r="AA159" s="128"/>
      <c r="AB159" s="76"/>
      <c r="AC159" s="217"/>
      <c r="AD159" s="218"/>
      <c r="AE159" s="219"/>
      <c r="AF159" s="218"/>
    </row>
    <row r="160" spans="2:34" ht="15" customHeight="1" x14ac:dyDescent="0.25">
      <c r="B160" s="78" t="str">
        <f>'Eid List Entry'!B99</f>
        <v xml:space="preserve"> </v>
      </c>
      <c r="C160" s="215">
        <f>'Eid List Entry'!C99</f>
        <v>0</v>
      </c>
      <c r="D160" s="216"/>
      <c r="E160" s="216"/>
      <c r="F160" s="216"/>
      <c r="G160" s="216"/>
      <c r="H160" s="216"/>
      <c r="I160" s="216"/>
      <c r="J160" s="216"/>
      <c r="K160" s="216"/>
      <c r="L160" s="216"/>
      <c r="M160" s="216"/>
      <c r="N160" s="216"/>
      <c r="O160" s="216"/>
      <c r="P160" s="216"/>
      <c r="Q160" s="216"/>
      <c r="R160" s="216"/>
      <c r="S160" s="216"/>
      <c r="T160" s="216"/>
      <c r="U160" s="216"/>
      <c r="V160" s="216"/>
      <c r="W160" s="216"/>
      <c r="X160" s="216"/>
      <c r="Y160" s="21">
        <f>'Eid List Entry'!E99</f>
        <v>0</v>
      </c>
      <c r="Z160" s="104">
        <f>'Eid List Entry'!D99</f>
        <v>0</v>
      </c>
      <c r="AA160" s="128"/>
      <c r="AB160" s="76"/>
      <c r="AC160" s="217"/>
      <c r="AD160" s="218"/>
      <c r="AE160" s="219"/>
      <c r="AF160" s="218"/>
    </row>
    <row r="161" spans="2:32" ht="15" customHeight="1" x14ac:dyDescent="0.25">
      <c r="B161" s="78" t="str">
        <f>'Eid List Entry'!B100</f>
        <v xml:space="preserve"> </v>
      </c>
      <c r="C161" s="215">
        <f>'Eid List Entry'!C100</f>
        <v>0</v>
      </c>
      <c r="D161" s="216"/>
      <c r="E161" s="216"/>
      <c r="F161" s="216"/>
      <c r="G161" s="216"/>
      <c r="H161" s="216"/>
      <c r="I161" s="216"/>
      <c r="J161" s="216"/>
      <c r="K161" s="216"/>
      <c r="L161" s="216"/>
      <c r="M161" s="216"/>
      <c r="N161" s="216"/>
      <c r="O161" s="216"/>
      <c r="P161" s="216"/>
      <c r="Q161" s="216"/>
      <c r="R161" s="216"/>
      <c r="S161" s="216"/>
      <c r="T161" s="216"/>
      <c r="U161" s="216"/>
      <c r="V161" s="216"/>
      <c r="W161" s="216"/>
      <c r="X161" s="216"/>
      <c r="Y161" s="21">
        <f>'Eid List Entry'!E100</f>
        <v>0</v>
      </c>
      <c r="Z161" s="104">
        <f>'Eid List Entry'!D100</f>
        <v>0</v>
      </c>
      <c r="AA161" s="128"/>
      <c r="AB161" s="76"/>
      <c r="AC161" s="217"/>
      <c r="AD161" s="218"/>
      <c r="AE161" s="219"/>
      <c r="AF161" s="218"/>
    </row>
    <row r="162" spans="2:32" ht="15" customHeight="1" x14ac:dyDescent="0.25">
      <c r="B162" s="78" t="str">
        <f>'Eid List Entry'!B101</f>
        <v xml:space="preserve"> </v>
      </c>
      <c r="C162" s="215">
        <f>'Eid List Entry'!C101</f>
        <v>0</v>
      </c>
      <c r="D162" s="216"/>
      <c r="E162" s="216"/>
      <c r="F162" s="216"/>
      <c r="G162" s="216"/>
      <c r="H162" s="216"/>
      <c r="I162" s="216"/>
      <c r="J162" s="216"/>
      <c r="K162" s="216"/>
      <c r="L162" s="216"/>
      <c r="M162" s="216"/>
      <c r="N162" s="216"/>
      <c r="O162" s="216"/>
      <c r="P162" s="216"/>
      <c r="Q162" s="216"/>
      <c r="R162" s="216"/>
      <c r="S162" s="216"/>
      <c r="T162" s="216"/>
      <c r="U162" s="216"/>
      <c r="V162" s="216"/>
      <c r="W162" s="216"/>
      <c r="X162" s="216"/>
      <c r="Y162" s="21">
        <f>'Eid List Entry'!E101</f>
        <v>0</v>
      </c>
      <c r="Z162" s="104">
        <f>'Eid List Entry'!D101</f>
        <v>0</v>
      </c>
      <c r="AA162" s="128"/>
      <c r="AB162" s="76"/>
      <c r="AC162" s="217"/>
      <c r="AD162" s="218"/>
      <c r="AE162" s="219"/>
      <c r="AF162" s="218"/>
    </row>
    <row r="163" spans="2:32" ht="15" customHeight="1" x14ac:dyDescent="0.25">
      <c r="B163" s="78" t="str">
        <f>'Eid List Entry'!B102</f>
        <v xml:space="preserve"> </v>
      </c>
      <c r="C163" s="215">
        <f>'Eid List Entry'!C102</f>
        <v>0</v>
      </c>
      <c r="D163" s="216"/>
      <c r="E163" s="216"/>
      <c r="F163" s="216"/>
      <c r="G163" s="216"/>
      <c r="H163" s="216"/>
      <c r="I163" s="216"/>
      <c r="J163" s="216"/>
      <c r="K163" s="216"/>
      <c r="L163" s="216"/>
      <c r="M163" s="216"/>
      <c r="N163" s="216"/>
      <c r="O163" s="216"/>
      <c r="P163" s="216"/>
      <c r="Q163" s="216"/>
      <c r="R163" s="216"/>
      <c r="S163" s="216"/>
      <c r="T163" s="216"/>
      <c r="U163" s="216"/>
      <c r="V163" s="216"/>
      <c r="W163" s="216"/>
      <c r="X163" s="216"/>
      <c r="Y163" s="21">
        <f>'Eid List Entry'!E102</f>
        <v>0</v>
      </c>
      <c r="Z163" s="104">
        <f>'Eid List Entry'!D102</f>
        <v>0</v>
      </c>
      <c r="AA163" s="128"/>
      <c r="AB163" s="76"/>
      <c r="AC163" s="217"/>
      <c r="AD163" s="218"/>
      <c r="AE163" s="219"/>
      <c r="AF163" s="218"/>
    </row>
    <row r="164" spans="2:32" ht="15" customHeight="1" x14ac:dyDescent="0.25">
      <c r="B164" s="78" t="str">
        <f>'Eid List Entry'!B103</f>
        <v xml:space="preserve"> </v>
      </c>
      <c r="C164" s="215">
        <f>'Eid List Entry'!C103</f>
        <v>0</v>
      </c>
      <c r="D164" s="216"/>
      <c r="E164" s="216"/>
      <c r="F164" s="216"/>
      <c r="G164" s="216"/>
      <c r="H164" s="216"/>
      <c r="I164" s="216"/>
      <c r="J164" s="216"/>
      <c r="K164" s="216"/>
      <c r="L164" s="216"/>
      <c r="M164" s="216"/>
      <c r="N164" s="216"/>
      <c r="O164" s="216"/>
      <c r="P164" s="216"/>
      <c r="Q164" s="216"/>
      <c r="R164" s="216"/>
      <c r="S164" s="216"/>
      <c r="T164" s="216"/>
      <c r="U164" s="216"/>
      <c r="V164" s="216"/>
      <c r="W164" s="216"/>
      <c r="X164" s="216"/>
      <c r="Y164" s="21">
        <f>'Eid List Entry'!E103</f>
        <v>0</v>
      </c>
      <c r="Z164" s="104">
        <f>'Eid List Entry'!D103</f>
        <v>0</v>
      </c>
      <c r="AA164" s="128"/>
      <c r="AB164" s="76"/>
      <c r="AC164" s="217"/>
      <c r="AD164" s="218"/>
      <c r="AE164" s="219"/>
      <c r="AF164" s="218"/>
    </row>
    <row r="165" spans="2:32" ht="15" customHeight="1" x14ac:dyDescent="0.25">
      <c r="B165" s="78" t="str">
        <f>'Eid List Entry'!B104</f>
        <v xml:space="preserve"> </v>
      </c>
      <c r="C165" s="215">
        <f>'Eid List Entry'!C104</f>
        <v>0</v>
      </c>
      <c r="D165" s="216"/>
      <c r="E165" s="216"/>
      <c r="F165" s="216"/>
      <c r="G165" s="216"/>
      <c r="H165" s="216"/>
      <c r="I165" s="216"/>
      <c r="J165" s="216"/>
      <c r="K165" s="216"/>
      <c r="L165" s="216"/>
      <c r="M165" s="216"/>
      <c r="N165" s="216"/>
      <c r="O165" s="216"/>
      <c r="P165" s="216"/>
      <c r="Q165" s="216"/>
      <c r="R165" s="216"/>
      <c r="S165" s="216"/>
      <c r="T165" s="216"/>
      <c r="U165" s="216"/>
      <c r="V165" s="216"/>
      <c r="W165" s="216"/>
      <c r="X165" s="216"/>
      <c r="Y165" s="21">
        <f>'Eid List Entry'!E104</f>
        <v>0</v>
      </c>
      <c r="Z165" s="104">
        <f>'Eid List Entry'!D104</f>
        <v>0</v>
      </c>
      <c r="AA165" s="128"/>
      <c r="AB165" s="76"/>
      <c r="AC165" s="217"/>
      <c r="AD165" s="218"/>
      <c r="AE165" s="219"/>
      <c r="AF165" s="218"/>
    </row>
    <row r="166" spans="2:32" ht="15" customHeight="1" x14ac:dyDescent="0.25">
      <c r="B166" s="78" t="str">
        <f>'Eid List Entry'!B105</f>
        <v xml:space="preserve"> </v>
      </c>
      <c r="C166" s="215">
        <f>'Eid List Entry'!C105</f>
        <v>0</v>
      </c>
      <c r="D166" s="216"/>
      <c r="E166" s="216"/>
      <c r="F166" s="216"/>
      <c r="G166" s="216"/>
      <c r="H166" s="216"/>
      <c r="I166" s="216"/>
      <c r="J166" s="216"/>
      <c r="K166" s="216"/>
      <c r="L166" s="216"/>
      <c r="M166" s="216"/>
      <c r="N166" s="216"/>
      <c r="O166" s="216"/>
      <c r="P166" s="216"/>
      <c r="Q166" s="216"/>
      <c r="R166" s="216"/>
      <c r="S166" s="216"/>
      <c r="T166" s="216"/>
      <c r="U166" s="216"/>
      <c r="V166" s="216"/>
      <c r="W166" s="216"/>
      <c r="X166" s="216"/>
      <c r="Y166" s="21">
        <f>'Eid List Entry'!E105</f>
        <v>0</v>
      </c>
      <c r="Z166" s="104">
        <f>'Eid List Entry'!D105</f>
        <v>0</v>
      </c>
      <c r="AA166" s="81"/>
      <c r="AB166" s="82"/>
      <c r="AC166" s="220"/>
      <c r="AD166" s="221"/>
      <c r="AE166" s="222"/>
      <c r="AF166" s="223"/>
    </row>
    <row r="167" spans="2:32" ht="15" customHeight="1" x14ac:dyDescent="0.25">
      <c r="B167" s="78" t="str">
        <f>'Eid List Entry'!B106</f>
        <v xml:space="preserve"> </v>
      </c>
      <c r="C167" s="215">
        <f>'Eid List Entry'!C106</f>
        <v>0</v>
      </c>
      <c r="D167" s="216"/>
      <c r="E167" s="216"/>
      <c r="F167" s="216"/>
      <c r="G167" s="216"/>
      <c r="H167" s="216"/>
      <c r="I167" s="216"/>
      <c r="J167" s="216"/>
      <c r="K167" s="216"/>
      <c r="L167" s="216"/>
      <c r="M167" s="216"/>
      <c r="N167" s="216"/>
      <c r="O167" s="216"/>
      <c r="P167" s="216"/>
      <c r="Q167" s="216"/>
      <c r="R167" s="216"/>
      <c r="S167" s="216"/>
      <c r="T167" s="216"/>
      <c r="U167" s="216"/>
      <c r="V167" s="216"/>
      <c r="W167" s="216"/>
      <c r="X167" s="216"/>
      <c r="Y167" s="21">
        <f>'Eid List Entry'!E106</f>
        <v>0</v>
      </c>
      <c r="Z167" s="104">
        <f>'Eid List Entry'!D106</f>
        <v>0</v>
      </c>
      <c r="AA167" s="128"/>
      <c r="AB167" s="82"/>
      <c r="AC167" s="217"/>
      <c r="AD167" s="218"/>
      <c r="AE167" s="219"/>
      <c r="AF167" s="218"/>
    </row>
    <row r="168" spans="2:32" ht="15" customHeight="1" x14ac:dyDescent="0.25">
      <c r="B168" s="78" t="str">
        <f>'Eid List Entry'!B107</f>
        <v xml:space="preserve"> </v>
      </c>
      <c r="C168" s="215">
        <f>'Eid List Entry'!C107</f>
        <v>0</v>
      </c>
      <c r="D168" s="216"/>
      <c r="E168" s="216"/>
      <c r="F168" s="216"/>
      <c r="G168" s="216"/>
      <c r="H168" s="216"/>
      <c r="I168" s="216"/>
      <c r="J168" s="216"/>
      <c r="K168" s="216"/>
      <c r="L168" s="216"/>
      <c r="M168" s="216"/>
      <c r="N168" s="216"/>
      <c r="O168" s="216"/>
      <c r="P168" s="216"/>
      <c r="Q168" s="216"/>
      <c r="R168" s="216"/>
      <c r="S168" s="216"/>
      <c r="T168" s="216"/>
      <c r="U168" s="216"/>
      <c r="V168" s="216"/>
      <c r="W168" s="216"/>
      <c r="X168" s="216"/>
      <c r="Y168" s="21">
        <f>'Eid List Entry'!E107</f>
        <v>0</v>
      </c>
      <c r="Z168" s="104">
        <f>'Eid List Entry'!D107</f>
        <v>0</v>
      </c>
      <c r="AA168" s="128"/>
      <c r="AB168" s="76"/>
      <c r="AC168" s="217"/>
      <c r="AD168" s="218"/>
      <c r="AE168" s="219"/>
      <c r="AF168" s="218"/>
    </row>
    <row r="169" spans="2:32" ht="15" customHeight="1" x14ac:dyDescent="0.25">
      <c r="B169" s="78" t="str">
        <f>'Eid List Entry'!B108</f>
        <v xml:space="preserve"> </v>
      </c>
      <c r="C169" s="215">
        <f>'Eid List Entry'!C108</f>
        <v>0</v>
      </c>
      <c r="D169" s="216"/>
      <c r="E169" s="216"/>
      <c r="F169" s="216"/>
      <c r="G169" s="216"/>
      <c r="H169" s="216"/>
      <c r="I169" s="216"/>
      <c r="J169" s="216"/>
      <c r="K169" s="216"/>
      <c r="L169" s="216"/>
      <c r="M169" s="216"/>
      <c r="N169" s="216"/>
      <c r="O169" s="216"/>
      <c r="P169" s="216"/>
      <c r="Q169" s="216"/>
      <c r="R169" s="216"/>
      <c r="S169" s="216"/>
      <c r="T169" s="216"/>
      <c r="U169" s="216"/>
      <c r="V169" s="216"/>
      <c r="W169" s="216"/>
      <c r="X169" s="216"/>
      <c r="Y169" s="21">
        <f>'Eid List Entry'!E108</f>
        <v>0</v>
      </c>
      <c r="Z169" s="104">
        <f>'Eid List Entry'!D108</f>
        <v>0</v>
      </c>
      <c r="AA169" s="128"/>
      <c r="AB169" s="76"/>
      <c r="AC169" s="217"/>
      <c r="AD169" s="218"/>
      <c r="AE169" s="219"/>
      <c r="AF169" s="218"/>
    </row>
    <row r="170" spans="2:32" ht="15" customHeight="1" x14ac:dyDescent="0.25">
      <c r="B170" s="78" t="str">
        <f>'Eid List Entry'!B109</f>
        <v xml:space="preserve"> </v>
      </c>
      <c r="C170" s="215">
        <f>'Eid List Entry'!C109</f>
        <v>0</v>
      </c>
      <c r="D170" s="216"/>
      <c r="E170" s="216"/>
      <c r="F170" s="216"/>
      <c r="G170" s="216"/>
      <c r="H170" s="216"/>
      <c r="I170" s="216"/>
      <c r="J170" s="216"/>
      <c r="K170" s="216"/>
      <c r="L170" s="216"/>
      <c r="M170" s="216"/>
      <c r="N170" s="216"/>
      <c r="O170" s="216"/>
      <c r="P170" s="216"/>
      <c r="Q170" s="216"/>
      <c r="R170" s="216"/>
      <c r="S170" s="216"/>
      <c r="T170" s="216"/>
      <c r="U170" s="216"/>
      <c r="V170" s="216"/>
      <c r="W170" s="216"/>
      <c r="X170" s="216"/>
      <c r="Y170" s="21">
        <f>'Eid List Entry'!E109</f>
        <v>0</v>
      </c>
      <c r="Z170" s="104">
        <f>'Eid List Entry'!D109</f>
        <v>0</v>
      </c>
      <c r="AA170" s="128"/>
      <c r="AB170" s="76"/>
      <c r="AC170" s="217"/>
      <c r="AD170" s="218"/>
      <c r="AE170" s="219"/>
      <c r="AF170" s="218"/>
    </row>
    <row r="171" spans="2:32" ht="15" customHeight="1" x14ac:dyDescent="0.25">
      <c r="B171" s="78" t="str">
        <f>'Eid List Entry'!B110</f>
        <v xml:space="preserve"> </v>
      </c>
      <c r="C171" s="215">
        <f>'Eid List Entry'!C110</f>
        <v>0</v>
      </c>
      <c r="D171" s="216"/>
      <c r="E171" s="216"/>
      <c r="F171" s="216"/>
      <c r="G171" s="216"/>
      <c r="H171" s="216"/>
      <c r="I171" s="216"/>
      <c r="J171" s="216"/>
      <c r="K171" s="216"/>
      <c r="L171" s="216"/>
      <c r="M171" s="216"/>
      <c r="N171" s="216"/>
      <c r="O171" s="216"/>
      <c r="P171" s="216"/>
      <c r="Q171" s="216"/>
      <c r="R171" s="216"/>
      <c r="S171" s="216"/>
      <c r="T171" s="216"/>
      <c r="U171" s="216"/>
      <c r="V171" s="216"/>
      <c r="W171" s="216"/>
      <c r="X171" s="216"/>
      <c r="Y171" s="21">
        <f>'Eid List Entry'!E110</f>
        <v>0</v>
      </c>
      <c r="Z171" s="104">
        <f>'Eid List Entry'!D110</f>
        <v>0</v>
      </c>
      <c r="AA171" s="128"/>
      <c r="AB171" s="76"/>
      <c r="AC171" s="217"/>
      <c r="AD171" s="218"/>
      <c r="AE171" s="219"/>
      <c r="AF171" s="218"/>
    </row>
    <row r="172" spans="2:32" ht="15" customHeight="1" x14ac:dyDescent="0.25">
      <c r="B172" s="78" t="str">
        <f>'Eid List Entry'!B111</f>
        <v xml:space="preserve"> </v>
      </c>
      <c r="C172" s="215">
        <f>'Eid List Entry'!C111</f>
        <v>0</v>
      </c>
      <c r="D172" s="216"/>
      <c r="E172" s="216"/>
      <c r="F172" s="216"/>
      <c r="G172" s="216"/>
      <c r="H172" s="216"/>
      <c r="I172" s="216"/>
      <c r="J172" s="216"/>
      <c r="K172" s="216"/>
      <c r="L172" s="216"/>
      <c r="M172" s="216"/>
      <c r="N172" s="216"/>
      <c r="O172" s="216"/>
      <c r="P172" s="216"/>
      <c r="Q172" s="216"/>
      <c r="R172" s="216"/>
      <c r="S172" s="216"/>
      <c r="T172" s="216"/>
      <c r="U172" s="216"/>
      <c r="V172" s="216"/>
      <c r="W172" s="216"/>
      <c r="X172" s="216"/>
      <c r="Y172" s="21">
        <f>'Eid List Entry'!E111</f>
        <v>0</v>
      </c>
      <c r="Z172" s="104">
        <f>'Eid List Entry'!D111</f>
        <v>0</v>
      </c>
      <c r="AA172" s="128"/>
      <c r="AB172" s="76"/>
      <c r="AC172" s="217"/>
      <c r="AD172" s="218"/>
      <c r="AE172" s="219"/>
      <c r="AF172" s="218"/>
    </row>
    <row r="173" spans="2:32" ht="15" customHeight="1" x14ac:dyDescent="0.25">
      <c r="B173" s="78" t="str">
        <f>'Eid List Entry'!B112</f>
        <v xml:space="preserve"> </v>
      </c>
      <c r="C173" s="215">
        <f>'Eid List Entry'!C112</f>
        <v>0</v>
      </c>
      <c r="D173" s="216"/>
      <c r="E173" s="216"/>
      <c r="F173" s="216"/>
      <c r="G173" s="216"/>
      <c r="H173" s="216"/>
      <c r="I173" s="216"/>
      <c r="J173" s="216"/>
      <c r="K173" s="216"/>
      <c r="L173" s="216"/>
      <c r="M173" s="216"/>
      <c r="N173" s="216"/>
      <c r="O173" s="216"/>
      <c r="P173" s="216"/>
      <c r="Q173" s="216"/>
      <c r="R173" s="216"/>
      <c r="S173" s="216"/>
      <c r="T173" s="216"/>
      <c r="U173" s="216"/>
      <c r="V173" s="216"/>
      <c r="W173" s="216"/>
      <c r="X173" s="216"/>
      <c r="Y173" s="21">
        <f>'Eid List Entry'!E112</f>
        <v>0</v>
      </c>
      <c r="Z173" s="104">
        <f>'Eid List Entry'!D112</f>
        <v>0</v>
      </c>
      <c r="AA173" s="128"/>
      <c r="AB173" s="76"/>
      <c r="AC173" s="217"/>
      <c r="AD173" s="218"/>
      <c r="AE173" s="219"/>
      <c r="AF173" s="218"/>
    </row>
    <row r="174" spans="2:32" ht="15" customHeight="1" x14ac:dyDescent="0.25">
      <c r="B174" s="78" t="str">
        <f>'Eid List Entry'!B113</f>
        <v xml:space="preserve"> </v>
      </c>
      <c r="C174" s="247">
        <f>'Eid List Entry'!C113</f>
        <v>0</v>
      </c>
      <c r="D174" s="247"/>
      <c r="E174" s="247"/>
      <c r="F174" s="247"/>
      <c r="G174" s="247"/>
      <c r="H174" s="247"/>
      <c r="I174" s="247"/>
      <c r="J174" s="247"/>
      <c r="K174" s="247"/>
      <c r="L174" s="247"/>
      <c r="M174" s="247"/>
      <c r="N174" s="247"/>
      <c r="O174" s="247"/>
      <c r="P174" s="247"/>
      <c r="Q174" s="247"/>
      <c r="R174" s="247"/>
      <c r="S174" s="247"/>
      <c r="T174" s="247"/>
      <c r="U174" s="247"/>
      <c r="V174" s="247"/>
      <c r="W174" s="247"/>
      <c r="X174" s="247"/>
      <c r="Y174" s="129">
        <f>'Eid List Entry'!E113</f>
        <v>0</v>
      </c>
      <c r="Z174" s="104">
        <f>'Eid List Entry'!D113</f>
        <v>0</v>
      </c>
      <c r="AA174" s="76"/>
      <c r="AB174" s="76"/>
      <c r="AC174" s="248"/>
      <c r="AD174" s="248"/>
      <c r="AE174" s="248"/>
      <c r="AF174" s="248"/>
    </row>
    <row r="175" spans="2:32" s="7" customFormat="1" ht="1.5" customHeight="1" x14ac:dyDescent="0.25">
      <c r="B175" s="23"/>
      <c r="C175" s="101"/>
      <c r="D175" s="101"/>
      <c r="E175" s="101"/>
      <c r="F175" s="101"/>
      <c r="G175" s="101"/>
      <c r="H175" s="101"/>
      <c r="I175" s="101"/>
      <c r="J175" s="101"/>
      <c r="K175" s="101"/>
      <c r="L175" s="101"/>
      <c r="M175" s="101"/>
      <c r="N175" s="101"/>
      <c r="O175" s="101"/>
      <c r="P175" s="101"/>
      <c r="Q175" s="101"/>
      <c r="R175" s="101"/>
      <c r="S175" s="101"/>
      <c r="T175" s="101"/>
      <c r="U175" s="101"/>
      <c r="V175" s="101"/>
      <c r="W175" s="101"/>
      <c r="X175" s="101"/>
      <c r="Y175" s="24"/>
      <c r="Z175" s="25"/>
      <c r="AA175" s="10"/>
      <c r="AB175" s="10"/>
      <c r="AC175" s="10"/>
      <c r="AD175" s="10"/>
      <c r="AE175" s="10"/>
      <c r="AF175" s="10"/>
    </row>
    <row r="176" spans="2:32" ht="73.5" customHeight="1" x14ac:dyDescent="0.25">
      <c r="B176" s="12"/>
      <c r="C176" s="12"/>
      <c r="D176" s="12"/>
      <c r="E176" s="12"/>
      <c r="F176" s="12"/>
      <c r="G176" s="12"/>
      <c r="H176" s="12"/>
      <c r="I176" s="12"/>
      <c r="J176" s="12"/>
      <c r="K176" s="12"/>
      <c r="L176" s="12"/>
      <c r="M176" s="12"/>
      <c r="N176" s="12"/>
      <c r="O176" s="12"/>
      <c r="P176" s="12"/>
    </row>
    <row r="177" spans="2:32" ht="18" customHeight="1" x14ac:dyDescent="0.25">
      <c r="B177" s="160" t="s">
        <v>0</v>
      </c>
      <c r="C177" s="249" t="s">
        <v>9</v>
      </c>
      <c r="D177" s="250"/>
      <c r="E177" s="251">
        <f>E148</f>
        <v>1594</v>
      </c>
      <c r="F177" s="252"/>
      <c r="G177" s="252"/>
      <c r="H177" s="252"/>
      <c r="I177" s="252"/>
      <c r="J177" s="252"/>
      <c r="K177" s="252"/>
      <c r="L177" s="252"/>
      <c r="M177" s="252"/>
      <c r="N177" s="252"/>
      <c r="O177" s="252"/>
      <c r="P177" s="252"/>
      <c r="Q177" s="252"/>
      <c r="R177" s="252"/>
      <c r="S177" s="252"/>
      <c r="T177" s="252"/>
      <c r="U177" s="252"/>
      <c r="V177" s="252"/>
      <c r="W177" s="252"/>
      <c r="X177" s="252"/>
      <c r="Y177" s="252"/>
      <c r="Z177" s="253" t="s">
        <v>10</v>
      </c>
      <c r="AA177" s="254"/>
      <c r="AB177" s="259" t="s">
        <v>11</v>
      </c>
      <c r="AC177" s="260"/>
      <c r="AD177" s="261"/>
      <c r="AE177" s="268" t="s">
        <v>12</v>
      </c>
      <c r="AF177" s="269"/>
    </row>
    <row r="178" spans="2:32" ht="18" customHeight="1" x14ac:dyDescent="0.25">
      <c r="B178" s="161">
        <f ca="1">B149</f>
        <v>44621</v>
      </c>
      <c r="C178" s="274" t="s">
        <v>13</v>
      </c>
      <c r="D178" s="274"/>
      <c r="E178" s="274"/>
      <c r="F178" s="274"/>
      <c r="G178" s="274"/>
      <c r="H178" s="274"/>
      <c r="I178" s="274"/>
      <c r="J178" s="274"/>
      <c r="K178" s="274"/>
      <c r="L178" s="275">
        <f>L149</f>
        <v>0</v>
      </c>
      <c r="M178" s="275"/>
      <c r="N178" s="275"/>
      <c r="O178" s="275"/>
      <c r="P178" s="275"/>
      <c r="Q178" s="275"/>
      <c r="R178" s="275"/>
      <c r="S178" s="275"/>
      <c r="T178" s="275"/>
      <c r="U178" s="275"/>
      <c r="V178" s="275"/>
      <c r="W178" s="275"/>
      <c r="X178" s="275"/>
      <c r="Y178" s="275"/>
      <c r="Z178" s="255"/>
      <c r="AA178" s="256"/>
      <c r="AB178" s="262"/>
      <c r="AC178" s="263"/>
      <c r="AD178" s="264"/>
      <c r="AE178" s="270"/>
      <c r="AF178" s="271"/>
    </row>
    <row r="179" spans="2:32" ht="18" customHeight="1" x14ac:dyDescent="0.25">
      <c r="B179" s="159" t="s">
        <v>14</v>
      </c>
      <c r="C179" s="276" t="s">
        <v>15</v>
      </c>
      <c r="D179" s="277"/>
      <c r="E179" s="277"/>
      <c r="F179" s="278"/>
      <c r="G179" s="278">
        <f>G150</f>
        <v>0</v>
      </c>
      <c r="H179" s="278"/>
      <c r="I179" s="278"/>
      <c r="J179" s="278"/>
      <c r="K179" s="278"/>
      <c r="L179" s="278"/>
      <c r="M179" s="278"/>
      <c r="N179" s="278"/>
      <c r="O179" s="278"/>
      <c r="P179" s="278"/>
      <c r="Q179" s="278"/>
      <c r="R179" s="278"/>
      <c r="S179" s="278"/>
      <c r="T179" s="278"/>
      <c r="U179" s="278"/>
      <c r="V179" s="278"/>
      <c r="W179" s="278"/>
      <c r="X179" s="278"/>
      <c r="Y179" s="279"/>
      <c r="Z179" s="257"/>
      <c r="AA179" s="258"/>
      <c r="AB179" s="265"/>
      <c r="AC179" s="266"/>
      <c r="AD179" s="267"/>
      <c r="AE179" s="272"/>
      <c r="AF179" s="273"/>
    </row>
    <row r="180" spans="2:32" ht="18.75" customHeight="1" x14ac:dyDescent="0.25">
      <c r="B180" s="321" t="str">
        <f>_xlfn.CONCAT("7"," ","of"," ",IF(ISBLANK('Eid List Entry'!C14),1,
IF(ISBLANK('Eid List Entry'!C34),2,
IF(ISBLANK('Eid List Entry'!C54),3,
IF(ISBLANK('Eid List Entry'!C74),4,
IF(ISBLANK('Eid List Entry'!C94),5,
IF(ISBLANK('Eid List Entry'!C114),6,
IF(ISBLANK('Eid List Entry'!C134),7,
IF(ISBLANK('Eid List Entry'!C154),8,
IF(ISBLANK('Eid List Entry'!C174),9,
IF(ISBLANK('Eid List Entry'!C194),10,
IF(ISBLANK('Eid List Entry'!C214),11,
IF(ISBLANK('Eid List Entry'!C234),12,
IF(ISBLANK('Eid List Entry'!C254),13))))))))))))))</f>
        <v>7 of 1</v>
      </c>
      <c r="C180" s="226"/>
      <c r="D180" s="227"/>
      <c r="E180" s="227"/>
      <c r="F180" s="227"/>
      <c r="G180" s="227"/>
      <c r="H180" s="227"/>
      <c r="I180" s="227"/>
      <c r="J180" s="227"/>
      <c r="K180" s="227"/>
      <c r="L180" s="227"/>
      <c r="M180" s="227"/>
      <c r="N180" s="227"/>
      <c r="O180" s="227"/>
      <c r="P180" s="227"/>
      <c r="Q180" s="227"/>
      <c r="R180" s="227"/>
      <c r="S180" s="227"/>
      <c r="T180" s="227"/>
      <c r="U180" s="227"/>
      <c r="V180" s="227"/>
      <c r="W180" s="227"/>
      <c r="X180" s="227"/>
      <c r="Y180" s="228"/>
      <c r="Z180" s="232" t="s">
        <v>7</v>
      </c>
      <c r="AA180" s="234" t="s">
        <v>1</v>
      </c>
      <c r="AB180" s="236" t="s">
        <v>21</v>
      </c>
      <c r="AC180" s="237"/>
      <c r="AD180" s="232"/>
      <c r="AE180" s="236" t="s">
        <v>39</v>
      </c>
      <c r="AF180" s="232"/>
    </row>
    <row r="181" spans="2:32" ht="17.25" customHeight="1" x14ac:dyDescent="0.25">
      <c r="B181" s="321"/>
      <c r="C181" s="229"/>
      <c r="D181" s="230"/>
      <c r="E181" s="230"/>
      <c r="F181" s="230"/>
      <c r="G181" s="230"/>
      <c r="H181" s="230"/>
      <c r="I181" s="230"/>
      <c r="J181" s="230"/>
      <c r="K181" s="230"/>
      <c r="L181" s="230"/>
      <c r="M181" s="230"/>
      <c r="N181" s="230"/>
      <c r="O181" s="230"/>
      <c r="P181" s="230"/>
      <c r="Q181" s="230"/>
      <c r="R181" s="230"/>
      <c r="S181" s="230"/>
      <c r="T181" s="230"/>
      <c r="U181" s="230"/>
      <c r="V181" s="230"/>
      <c r="W181" s="230"/>
      <c r="X181" s="230"/>
      <c r="Y181" s="231"/>
      <c r="Z181" s="233"/>
      <c r="AA181" s="234"/>
      <c r="AB181" s="238"/>
      <c r="AC181" s="239"/>
      <c r="AD181" s="233"/>
      <c r="AE181" s="238"/>
      <c r="AF181" s="233"/>
    </row>
    <row r="182" spans="2:32" ht="17.25" customHeight="1" x14ac:dyDescent="0.25">
      <c r="B182" s="322"/>
      <c r="C182" s="243" t="s">
        <v>3</v>
      </c>
      <c r="D182" s="222"/>
      <c r="E182" s="222"/>
      <c r="F182" s="222"/>
      <c r="G182" s="243">
        <f>G153</f>
        <v>0</v>
      </c>
      <c r="H182" s="222"/>
      <c r="I182" s="222"/>
      <c r="J182" s="222"/>
      <c r="K182" s="222"/>
      <c r="L182" s="121"/>
      <c r="M182" s="121"/>
      <c r="N182" s="121"/>
      <c r="O182" s="121"/>
      <c r="P182" s="121"/>
      <c r="Q182" s="121"/>
      <c r="R182" s="121"/>
      <c r="S182" s="121"/>
      <c r="T182" s="121"/>
      <c r="U182" s="121"/>
      <c r="V182" s="121"/>
      <c r="W182" s="121"/>
      <c r="X182" s="121"/>
      <c r="Y182" s="121"/>
      <c r="Z182" s="234"/>
      <c r="AA182" s="235"/>
      <c r="AB182" s="240"/>
      <c r="AC182" s="241"/>
      <c r="AD182" s="242"/>
      <c r="AE182" s="238"/>
      <c r="AF182" s="233"/>
    </row>
    <row r="183" spans="2:32" ht="35.25" customHeight="1" x14ac:dyDescent="0.25">
      <c r="B183" s="68" t="s">
        <v>2</v>
      </c>
      <c r="C183" s="244" t="str">
        <f>C153</f>
        <v xml:space="preserve">Lock Box # </v>
      </c>
      <c r="D183" s="244"/>
      <c r="E183" s="244"/>
      <c r="F183" s="244"/>
      <c r="G183" s="244"/>
      <c r="H183" s="244"/>
      <c r="I183" s="244"/>
      <c r="J183" s="244"/>
      <c r="K183" s="244"/>
      <c r="L183" s="244"/>
      <c r="M183" s="244"/>
      <c r="N183" s="244"/>
      <c r="O183" s="244"/>
      <c r="P183" s="244"/>
      <c r="Q183" s="244"/>
      <c r="R183" s="244"/>
      <c r="S183" s="244"/>
      <c r="T183" s="244"/>
      <c r="U183" s="244"/>
      <c r="V183" s="244"/>
      <c r="W183" s="244"/>
      <c r="X183" s="244"/>
      <c r="Y183" s="80" t="s">
        <v>28</v>
      </c>
      <c r="Z183" s="235"/>
      <c r="AA183" s="79" t="s">
        <v>73</v>
      </c>
      <c r="AB183" s="79" t="s">
        <v>73</v>
      </c>
      <c r="AC183" s="245" t="s">
        <v>73</v>
      </c>
      <c r="AD183" s="246"/>
      <c r="AE183" s="240"/>
      <c r="AF183" s="242"/>
    </row>
    <row r="184" spans="2:32" ht="15" customHeight="1" x14ac:dyDescent="0.25">
      <c r="B184" s="78" t="str">
        <f>'Eid List Entry'!B114</f>
        <v xml:space="preserve"> </v>
      </c>
      <c r="C184" s="215">
        <f>'Eid List Entry'!C114</f>
        <v>0</v>
      </c>
      <c r="D184" s="216"/>
      <c r="E184" s="216"/>
      <c r="F184" s="216"/>
      <c r="G184" s="216"/>
      <c r="H184" s="216"/>
      <c r="I184" s="216"/>
      <c r="J184" s="216"/>
      <c r="K184" s="216"/>
      <c r="L184" s="216"/>
      <c r="M184" s="216"/>
      <c r="N184" s="216"/>
      <c r="O184" s="216"/>
      <c r="P184" s="216"/>
      <c r="Q184" s="216"/>
      <c r="R184" s="216"/>
      <c r="S184" s="216"/>
      <c r="T184" s="216"/>
      <c r="U184" s="216"/>
      <c r="V184" s="216"/>
      <c r="W184" s="216"/>
      <c r="X184" s="216"/>
      <c r="Y184" s="21">
        <f>'Eid List Entry'!E114</f>
        <v>0</v>
      </c>
      <c r="Z184" s="104">
        <f>'Eid List Entry'!D114</f>
        <v>0</v>
      </c>
      <c r="AA184" s="128"/>
      <c r="AB184" s="76"/>
      <c r="AC184" s="217"/>
      <c r="AD184" s="218"/>
      <c r="AE184" s="224"/>
      <c r="AF184" s="225"/>
    </row>
    <row r="185" spans="2:32" ht="15" customHeight="1" x14ac:dyDescent="0.25">
      <c r="B185" s="78" t="str">
        <f>'Eid List Entry'!B115</f>
        <v xml:space="preserve"> </v>
      </c>
      <c r="C185" s="215">
        <f>'Eid List Entry'!C115</f>
        <v>0</v>
      </c>
      <c r="D185" s="216"/>
      <c r="E185" s="216"/>
      <c r="F185" s="216"/>
      <c r="G185" s="216"/>
      <c r="H185" s="216"/>
      <c r="I185" s="216"/>
      <c r="J185" s="216"/>
      <c r="K185" s="216"/>
      <c r="L185" s="216"/>
      <c r="M185" s="216"/>
      <c r="N185" s="216"/>
      <c r="O185" s="216"/>
      <c r="P185" s="216"/>
      <c r="Q185" s="216"/>
      <c r="R185" s="216"/>
      <c r="S185" s="216"/>
      <c r="T185" s="216"/>
      <c r="U185" s="216"/>
      <c r="V185" s="216"/>
      <c r="W185" s="216"/>
      <c r="X185" s="216"/>
      <c r="Y185" s="21">
        <f>'Eid List Entry'!E115</f>
        <v>0</v>
      </c>
      <c r="Z185" s="104">
        <f>'Eid List Entry'!D115</f>
        <v>0</v>
      </c>
      <c r="AA185" s="128"/>
      <c r="AB185" s="76"/>
      <c r="AC185" s="217"/>
      <c r="AD185" s="218"/>
      <c r="AE185" s="219"/>
      <c r="AF185" s="218"/>
    </row>
    <row r="186" spans="2:32" ht="15" customHeight="1" x14ac:dyDescent="0.25">
      <c r="B186" s="78" t="str">
        <f>'Eid List Entry'!B116</f>
        <v xml:space="preserve"> </v>
      </c>
      <c r="C186" s="215">
        <f>'Eid List Entry'!C116</f>
        <v>0</v>
      </c>
      <c r="D186" s="216"/>
      <c r="E186" s="216"/>
      <c r="F186" s="216"/>
      <c r="G186" s="216"/>
      <c r="H186" s="216"/>
      <c r="I186" s="216"/>
      <c r="J186" s="216"/>
      <c r="K186" s="216"/>
      <c r="L186" s="216"/>
      <c r="M186" s="216"/>
      <c r="N186" s="216"/>
      <c r="O186" s="216"/>
      <c r="P186" s="216"/>
      <c r="Q186" s="216"/>
      <c r="R186" s="216"/>
      <c r="S186" s="216"/>
      <c r="T186" s="216"/>
      <c r="U186" s="216"/>
      <c r="V186" s="216"/>
      <c r="W186" s="216"/>
      <c r="X186" s="216"/>
      <c r="Y186" s="21">
        <f>'Eid List Entry'!E116</f>
        <v>0</v>
      </c>
      <c r="Z186" s="104">
        <f>'Eid List Entry'!D116</f>
        <v>0</v>
      </c>
      <c r="AA186" s="128"/>
      <c r="AB186" s="76"/>
      <c r="AC186" s="217"/>
      <c r="AD186" s="218"/>
      <c r="AE186" s="219"/>
      <c r="AF186" s="218"/>
    </row>
    <row r="187" spans="2:32" ht="15" customHeight="1" x14ac:dyDescent="0.25">
      <c r="B187" s="78" t="str">
        <f>'Eid List Entry'!B117</f>
        <v xml:space="preserve"> </v>
      </c>
      <c r="C187" s="215">
        <f>'Eid List Entry'!C117</f>
        <v>0</v>
      </c>
      <c r="D187" s="216"/>
      <c r="E187" s="216"/>
      <c r="F187" s="216"/>
      <c r="G187" s="216"/>
      <c r="H187" s="216"/>
      <c r="I187" s="216"/>
      <c r="J187" s="216"/>
      <c r="K187" s="216"/>
      <c r="L187" s="216"/>
      <c r="M187" s="216"/>
      <c r="N187" s="216"/>
      <c r="O187" s="216"/>
      <c r="P187" s="216"/>
      <c r="Q187" s="216"/>
      <c r="R187" s="216"/>
      <c r="S187" s="216"/>
      <c r="T187" s="216"/>
      <c r="U187" s="216"/>
      <c r="V187" s="216"/>
      <c r="W187" s="216"/>
      <c r="X187" s="216"/>
      <c r="Y187" s="21">
        <f>'Eid List Entry'!E117</f>
        <v>0</v>
      </c>
      <c r="Z187" s="104">
        <f>'Eid List Entry'!D117</f>
        <v>0</v>
      </c>
      <c r="AA187" s="128"/>
      <c r="AB187" s="76"/>
      <c r="AC187" s="217"/>
      <c r="AD187" s="218"/>
      <c r="AE187" s="219"/>
      <c r="AF187" s="218"/>
    </row>
    <row r="188" spans="2:32" ht="15" customHeight="1" x14ac:dyDescent="0.25">
      <c r="B188" s="78" t="str">
        <f>'Eid List Entry'!B118</f>
        <v xml:space="preserve"> </v>
      </c>
      <c r="C188" s="215">
        <f>'Eid List Entry'!C118</f>
        <v>0</v>
      </c>
      <c r="D188" s="216"/>
      <c r="E188" s="216"/>
      <c r="F188" s="216"/>
      <c r="G188" s="216"/>
      <c r="H188" s="216"/>
      <c r="I188" s="216"/>
      <c r="J188" s="216"/>
      <c r="K188" s="216"/>
      <c r="L188" s="216"/>
      <c r="M188" s="216"/>
      <c r="N188" s="216"/>
      <c r="O188" s="216"/>
      <c r="P188" s="216"/>
      <c r="Q188" s="216"/>
      <c r="R188" s="216"/>
      <c r="S188" s="216"/>
      <c r="T188" s="216"/>
      <c r="U188" s="216"/>
      <c r="V188" s="216"/>
      <c r="W188" s="216"/>
      <c r="X188" s="216"/>
      <c r="Y188" s="21">
        <f>'Eid List Entry'!E118</f>
        <v>0</v>
      </c>
      <c r="Z188" s="104">
        <f>'Eid List Entry'!D118</f>
        <v>0</v>
      </c>
      <c r="AA188" s="128"/>
      <c r="AB188" s="76"/>
      <c r="AC188" s="217"/>
      <c r="AD188" s="218"/>
      <c r="AE188" s="219"/>
      <c r="AF188" s="218"/>
    </row>
    <row r="189" spans="2:32" ht="15" customHeight="1" x14ac:dyDescent="0.25">
      <c r="B189" s="78" t="str">
        <f>'Eid List Entry'!B119</f>
        <v xml:space="preserve"> </v>
      </c>
      <c r="C189" s="215">
        <f>'Eid List Entry'!C119</f>
        <v>0</v>
      </c>
      <c r="D189" s="216"/>
      <c r="E189" s="216"/>
      <c r="F189" s="216"/>
      <c r="G189" s="216"/>
      <c r="H189" s="216"/>
      <c r="I189" s="216"/>
      <c r="J189" s="216"/>
      <c r="K189" s="216"/>
      <c r="L189" s="216"/>
      <c r="M189" s="216"/>
      <c r="N189" s="216"/>
      <c r="O189" s="216"/>
      <c r="P189" s="216"/>
      <c r="Q189" s="216"/>
      <c r="R189" s="216"/>
      <c r="S189" s="216"/>
      <c r="T189" s="216"/>
      <c r="U189" s="216"/>
      <c r="V189" s="216"/>
      <c r="W189" s="216"/>
      <c r="X189" s="216"/>
      <c r="Y189" s="21">
        <f>'Eid List Entry'!E119</f>
        <v>0</v>
      </c>
      <c r="Z189" s="104">
        <f>'Eid List Entry'!D119</f>
        <v>0</v>
      </c>
      <c r="AA189" s="128"/>
      <c r="AB189" s="76"/>
      <c r="AC189" s="217"/>
      <c r="AD189" s="218"/>
      <c r="AE189" s="219"/>
      <c r="AF189" s="218"/>
    </row>
    <row r="190" spans="2:32" ht="15" customHeight="1" x14ac:dyDescent="0.25">
      <c r="B190" s="78" t="str">
        <f>'Eid List Entry'!B120</f>
        <v xml:space="preserve"> </v>
      </c>
      <c r="C190" s="215">
        <f>'Eid List Entry'!C120</f>
        <v>0</v>
      </c>
      <c r="D190" s="216"/>
      <c r="E190" s="216"/>
      <c r="F190" s="216"/>
      <c r="G190" s="216"/>
      <c r="H190" s="216"/>
      <c r="I190" s="216"/>
      <c r="J190" s="216"/>
      <c r="K190" s="216"/>
      <c r="L190" s="216"/>
      <c r="M190" s="216"/>
      <c r="N190" s="216"/>
      <c r="O190" s="216"/>
      <c r="P190" s="216"/>
      <c r="Q190" s="216"/>
      <c r="R190" s="216"/>
      <c r="S190" s="216"/>
      <c r="T190" s="216"/>
      <c r="U190" s="216"/>
      <c r="V190" s="216"/>
      <c r="W190" s="216"/>
      <c r="X190" s="216"/>
      <c r="Y190" s="21">
        <f>'Eid List Entry'!E120</f>
        <v>0</v>
      </c>
      <c r="Z190" s="104">
        <f>'Eid List Entry'!D120</f>
        <v>0</v>
      </c>
      <c r="AA190" s="128"/>
      <c r="AB190" s="76"/>
      <c r="AC190" s="217"/>
      <c r="AD190" s="218"/>
      <c r="AE190" s="219"/>
      <c r="AF190" s="218"/>
    </row>
    <row r="191" spans="2:32" ht="15" customHeight="1" x14ac:dyDescent="0.25">
      <c r="B191" s="78" t="str">
        <f>'Eid List Entry'!B121</f>
        <v xml:space="preserve"> </v>
      </c>
      <c r="C191" s="215">
        <f>'Eid List Entry'!C121</f>
        <v>0</v>
      </c>
      <c r="D191" s="216"/>
      <c r="E191" s="216"/>
      <c r="F191" s="216"/>
      <c r="G191" s="216"/>
      <c r="H191" s="216"/>
      <c r="I191" s="216"/>
      <c r="J191" s="216"/>
      <c r="K191" s="216"/>
      <c r="L191" s="216"/>
      <c r="M191" s="216"/>
      <c r="N191" s="216"/>
      <c r="O191" s="216"/>
      <c r="P191" s="216"/>
      <c r="Q191" s="216"/>
      <c r="R191" s="216"/>
      <c r="S191" s="216"/>
      <c r="T191" s="216"/>
      <c r="U191" s="216"/>
      <c r="V191" s="216"/>
      <c r="W191" s="216"/>
      <c r="X191" s="216"/>
      <c r="Y191" s="21">
        <f>'Eid List Entry'!E121</f>
        <v>0</v>
      </c>
      <c r="Z191" s="104">
        <f>'Eid List Entry'!D121</f>
        <v>0</v>
      </c>
      <c r="AA191" s="128"/>
      <c r="AB191" s="76"/>
      <c r="AC191" s="217"/>
      <c r="AD191" s="218"/>
      <c r="AE191" s="219"/>
      <c r="AF191" s="218"/>
    </row>
    <row r="192" spans="2:32" ht="15" customHeight="1" x14ac:dyDescent="0.25">
      <c r="B192" s="78" t="str">
        <f>'Eid List Entry'!B122</f>
        <v xml:space="preserve"> </v>
      </c>
      <c r="C192" s="215">
        <f>'Eid List Entry'!C122</f>
        <v>0</v>
      </c>
      <c r="D192" s="216"/>
      <c r="E192" s="216"/>
      <c r="F192" s="216"/>
      <c r="G192" s="216"/>
      <c r="H192" s="216"/>
      <c r="I192" s="216"/>
      <c r="J192" s="216"/>
      <c r="K192" s="216"/>
      <c r="L192" s="216"/>
      <c r="M192" s="216"/>
      <c r="N192" s="216"/>
      <c r="O192" s="216"/>
      <c r="P192" s="216"/>
      <c r="Q192" s="216"/>
      <c r="R192" s="216"/>
      <c r="S192" s="216"/>
      <c r="T192" s="216"/>
      <c r="U192" s="216"/>
      <c r="V192" s="216"/>
      <c r="W192" s="216"/>
      <c r="X192" s="216"/>
      <c r="Y192" s="21">
        <f>'Eid List Entry'!E122</f>
        <v>0</v>
      </c>
      <c r="Z192" s="104">
        <f>'Eid List Entry'!D122</f>
        <v>0</v>
      </c>
      <c r="AA192" s="128"/>
      <c r="AB192" s="76"/>
      <c r="AC192" s="217"/>
      <c r="AD192" s="218"/>
      <c r="AE192" s="219"/>
      <c r="AF192" s="218"/>
    </row>
    <row r="193" spans="2:32" ht="15" customHeight="1" x14ac:dyDescent="0.25">
      <c r="B193" s="78" t="str">
        <f>'Eid List Entry'!B123</f>
        <v xml:space="preserve"> </v>
      </c>
      <c r="C193" s="215">
        <f>'Eid List Entry'!C123</f>
        <v>0</v>
      </c>
      <c r="D193" s="216"/>
      <c r="E193" s="216"/>
      <c r="F193" s="216"/>
      <c r="G193" s="216"/>
      <c r="H193" s="216"/>
      <c r="I193" s="216"/>
      <c r="J193" s="216"/>
      <c r="K193" s="216"/>
      <c r="L193" s="216"/>
      <c r="M193" s="216"/>
      <c r="N193" s="216"/>
      <c r="O193" s="216"/>
      <c r="P193" s="216"/>
      <c r="Q193" s="216"/>
      <c r="R193" s="216"/>
      <c r="S193" s="216"/>
      <c r="T193" s="216"/>
      <c r="U193" s="216"/>
      <c r="V193" s="216"/>
      <c r="W193" s="216"/>
      <c r="X193" s="216"/>
      <c r="Y193" s="21">
        <f>'Eid List Entry'!E123</f>
        <v>0</v>
      </c>
      <c r="Z193" s="104">
        <f>'Eid List Entry'!D123</f>
        <v>0</v>
      </c>
      <c r="AA193" s="128"/>
      <c r="AB193" s="76"/>
      <c r="AC193" s="217"/>
      <c r="AD193" s="218"/>
      <c r="AE193" s="219"/>
      <c r="AF193" s="218"/>
    </row>
    <row r="194" spans="2:32" ht="15" customHeight="1" x14ac:dyDescent="0.25">
      <c r="B194" s="78" t="str">
        <f>'Eid List Entry'!B124</f>
        <v xml:space="preserve"> </v>
      </c>
      <c r="C194" s="215">
        <f>'Eid List Entry'!C124</f>
        <v>0</v>
      </c>
      <c r="D194" s="216"/>
      <c r="E194" s="216"/>
      <c r="F194" s="216"/>
      <c r="G194" s="216"/>
      <c r="H194" s="216"/>
      <c r="I194" s="216"/>
      <c r="J194" s="216"/>
      <c r="K194" s="216"/>
      <c r="L194" s="216"/>
      <c r="M194" s="216"/>
      <c r="N194" s="216"/>
      <c r="O194" s="216"/>
      <c r="P194" s="216"/>
      <c r="Q194" s="216"/>
      <c r="R194" s="216"/>
      <c r="S194" s="216"/>
      <c r="T194" s="216"/>
      <c r="U194" s="216"/>
      <c r="V194" s="216"/>
      <c r="W194" s="216"/>
      <c r="X194" s="216"/>
      <c r="Y194" s="21">
        <f>'Eid List Entry'!E124</f>
        <v>0</v>
      </c>
      <c r="Z194" s="104">
        <f>'Eid List Entry'!D124</f>
        <v>0</v>
      </c>
      <c r="AA194" s="128"/>
      <c r="AB194" s="76"/>
      <c r="AC194" s="217"/>
      <c r="AD194" s="218"/>
      <c r="AE194" s="219"/>
      <c r="AF194" s="218"/>
    </row>
    <row r="195" spans="2:32" ht="15" customHeight="1" x14ac:dyDescent="0.25">
      <c r="B195" s="78" t="str">
        <f>'Eid List Entry'!B125</f>
        <v xml:space="preserve"> </v>
      </c>
      <c r="C195" s="215">
        <f>'Eid List Entry'!C125</f>
        <v>0</v>
      </c>
      <c r="D195" s="216"/>
      <c r="E195" s="216"/>
      <c r="F195" s="216"/>
      <c r="G195" s="216"/>
      <c r="H195" s="216"/>
      <c r="I195" s="216"/>
      <c r="J195" s="216"/>
      <c r="K195" s="216"/>
      <c r="L195" s="216"/>
      <c r="M195" s="216"/>
      <c r="N195" s="216"/>
      <c r="O195" s="216"/>
      <c r="P195" s="216"/>
      <c r="Q195" s="216"/>
      <c r="R195" s="216"/>
      <c r="S195" s="216"/>
      <c r="T195" s="216"/>
      <c r="U195" s="216"/>
      <c r="V195" s="216"/>
      <c r="W195" s="216"/>
      <c r="X195" s="216"/>
      <c r="Y195" s="21">
        <f>'Eid List Entry'!E125</f>
        <v>0</v>
      </c>
      <c r="Z195" s="104">
        <f>'Eid List Entry'!D125</f>
        <v>0</v>
      </c>
      <c r="AA195" s="81"/>
      <c r="AB195" s="82"/>
      <c r="AC195" s="220"/>
      <c r="AD195" s="221"/>
      <c r="AE195" s="222"/>
      <c r="AF195" s="223"/>
    </row>
    <row r="196" spans="2:32" ht="15" customHeight="1" x14ac:dyDescent="0.25">
      <c r="B196" s="78" t="str">
        <f>'Eid List Entry'!B126</f>
        <v xml:space="preserve"> </v>
      </c>
      <c r="C196" s="215">
        <f>'Eid List Entry'!C126</f>
        <v>0</v>
      </c>
      <c r="D196" s="216"/>
      <c r="E196" s="216"/>
      <c r="F196" s="216"/>
      <c r="G196" s="216"/>
      <c r="H196" s="216"/>
      <c r="I196" s="216"/>
      <c r="J196" s="216"/>
      <c r="K196" s="216"/>
      <c r="L196" s="216"/>
      <c r="M196" s="216"/>
      <c r="N196" s="216"/>
      <c r="O196" s="216"/>
      <c r="P196" s="216"/>
      <c r="Q196" s="216"/>
      <c r="R196" s="216"/>
      <c r="S196" s="216"/>
      <c r="T196" s="216"/>
      <c r="U196" s="216"/>
      <c r="V196" s="216"/>
      <c r="W196" s="216"/>
      <c r="X196" s="216"/>
      <c r="Y196" s="21">
        <f>'Eid List Entry'!E126</f>
        <v>0</v>
      </c>
      <c r="Z196" s="104">
        <f>'Eid List Entry'!D126</f>
        <v>0</v>
      </c>
      <c r="AA196" s="128"/>
      <c r="AB196" s="82"/>
      <c r="AC196" s="217"/>
      <c r="AD196" s="218"/>
      <c r="AE196" s="219"/>
      <c r="AF196" s="218"/>
    </row>
    <row r="197" spans="2:32" ht="15" customHeight="1" x14ac:dyDescent="0.25">
      <c r="B197" s="78" t="str">
        <f>'Eid List Entry'!B127</f>
        <v xml:space="preserve"> </v>
      </c>
      <c r="C197" s="215">
        <f>'Eid List Entry'!C127</f>
        <v>0</v>
      </c>
      <c r="D197" s="216"/>
      <c r="E197" s="216"/>
      <c r="F197" s="216"/>
      <c r="G197" s="216"/>
      <c r="H197" s="216"/>
      <c r="I197" s="216"/>
      <c r="J197" s="216"/>
      <c r="K197" s="216"/>
      <c r="L197" s="216"/>
      <c r="M197" s="216"/>
      <c r="N197" s="216"/>
      <c r="O197" s="216"/>
      <c r="P197" s="216"/>
      <c r="Q197" s="216"/>
      <c r="R197" s="216"/>
      <c r="S197" s="216"/>
      <c r="T197" s="216"/>
      <c r="U197" s="216"/>
      <c r="V197" s="216"/>
      <c r="W197" s="216"/>
      <c r="X197" s="216"/>
      <c r="Y197" s="21">
        <f>'Eid List Entry'!E127</f>
        <v>0</v>
      </c>
      <c r="Z197" s="104">
        <f>'Eid List Entry'!D127</f>
        <v>0</v>
      </c>
      <c r="AA197" s="128"/>
      <c r="AB197" s="76"/>
      <c r="AC197" s="217"/>
      <c r="AD197" s="218"/>
      <c r="AE197" s="219"/>
      <c r="AF197" s="218"/>
    </row>
    <row r="198" spans="2:32" ht="15" customHeight="1" x14ac:dyDescent="0.25">
      <c r="B198" s="78" t="str">
        <f>'Eid List Entry'!B128</f>
        <v xml:space="preserve"> </v>
      </c>
      <c r="C198" s="215">
        <f>'Eid List Entry'!C128</f>
        <v>0</v>
      </c>
      <c r="D198" s="216"/>
      <c r="E198" s="216"/>
      <c r="F198" s="216"/>
      <c r="G198" s="216"/>
      <c r="H198" s="216"/>
      <c r="I198" s="216"/>
      <c r="J198" s="216"/>
      <c r="K198" s="216"/>
      <c r="L198" s="216"/>
      <c r="M198" s="216"/>
      <c r="N198" s="216"/>
      <c r="O198" s="216"/>
      <c r="P198" s="216"/>
      <c r="Q198" s="216"/>
      <c r="R198" s="216"/>
      <c r="S198" s="216"/>
      <c r="T198" s="216"/>
      <c r="U198" s="216"/>
      <c r="V198" s="216"/>
      <c r="W198" s="216"/>
      <c r="X198" s="216"/>
      <c r="Y198" s="21">
        <f>'Eid List Entry'!E128</f>
        <v>0</v>
      </c>
      <c r="Z198" s="104">
        <f>'Eid List Entry'!D128</f>
        <v>0</v>
      </c>
      <c r="AA198" s="128"/>
      <c r="AB198" s="76"/>
      <c r="AC198" s="217"/>
      <c r="AD198" s="218"/>
      <c r="AE198" s="219"/>
      <c r="AF198" s="218"/>
    </row>
    <row r="199" spans="2:32" ht="15" customHeight="1" x14ac:dyDescent="0.25">
      <c r="B199" s="78" t="str">
        <f>'Eid List Entry'!B129</f>
        <v xml:space="preserve"> </v>
      </c>
      <c r="C199" s="215">
        <f>'Eid List Entry'!C129</f>
        <v>0</v>
      </c>
      <c r="D199" s="216"/>
      <c r="E199" s="216"/>
      <c r="F199" s="216"/>
      <c r="G199" s="216"/>
      <c r="H199" s="216"/>
      <c r="I199" s="216"/>
      <c r="J199" s="216"/>
      <c r="K199" s="216"/>
      <c r="L199" s="216"/>
      <c r="M199" s="216"/>
      <c r="N199" s="216"/>
      <c r="O199" s="216"/>
      <c r="P199" s="216"/>
      <c r="Q199" s="216"/>
      <c r="R199" s="216"/>
      <c r="S199" s="216"/>
      <c r="T199" s="216"/>
      <c r="U199" s="216"/>
      <c r="V199" s="216"/>
      <c r="W199" s="216"/>
      <c r="X199" s="216"/>
      <c r="Y199" s="21">
        <f>'Eid List Entry'!E129</f>
        <v>0</v>
      </c>
      <c r="Z199" s="104">
        <f>'Eid List Entry'!D129</f>
        <v>0</v>
      </c>
      <c r="AA199" s="128"/>
      <c r="AB199" s="76"/>
      <c r="AC199" s="217"/>
      <c r="AD199" s="218"/>
      <c r="AE199" s="219"/>
      <c r="AF199" s="218"/>
    </row>
    <row r="200" spans="2:32" ht="15" customHeight="1" x14ac:dyDescent="0.25">
      <c r="B200" s="78" t="str">
        <f>'Eid List Entry'!B130</f>
        <v xml:space="preserve"> </v>
      </c>
      <c r="C200" s="215">
        <f>'Eid List Entry'!C130</f>
        <v>0</v>
      </c>
      <c r="D200" s="216"/>
      <c r="E200" s="216"/>
      <c r="F200" s="216"/>
      <c r="G200" s="216"/>
      <c r="H200" s="216"/>
      <c r="I200" s="216"/>
      <c r="J200" s="216"/>
      <c r="K200" s="216"/>
      <c r="L200" s="216"/>
      <c r="M200" s="216"/>
      <c r="N200" s="216"/>
      <c r="O200" s="216"/>
      <c r="P200" s="216"/>
      <c r="Q200" s="216"/>
      <c r="R200" s="216"/>
      <c r="S200" s="216"/>
      <c r="T200" s="216"/>
      <c r="U200" s="216"/>
      <c r="V200" s="216"/>
      <c r="W200" s="216"/>
      <c r="X200" s="216"/>
      <c r="Y200" s="21">
        <f>'Eid List Entry'!E130</f>
        <v>0</v>
      </c>
      <c r="Z200" s="104">
        <f>'Eid List Entry'!D130</f>
        <v>0</v>
      </c>
      <c r="AA200" s="128"/>
      <c r="AB200" s="76"/>
      <c r="AC200" s="217"/>
      <c r="AD200" s="218"/>
      <c r="AE200" s="219"/>
      <c r="AF200" s="218"/>
    </row>
    <row r="201" spans="2:32" ht="15" customHeight="1" x14ac:dyDescent="0.25">
      <c r="B201" s="78" t="str">
        <f>'Eid List Entry'!B131</f>
        <v xml:space="preserve"> </v>
      </c>
      <c r="C201" s="215">
        <f>'Eid List Entry'!C131</f>
        <v>0</v>
      </c>
      <c r="D201" s="216"/>
      <c r="E201" s="216"/>
      <c r="F201" s="216"/>
      <c r="G201" s="216"/>
      <c r="H201" s="216"/>
      <c r="I201" s="216"/>
      <c r="J201" s="216"/>
      <c r="K201" s="216"/>
      <c r="L201" s="216"/>
      <c r="M201" s="216"/>
      <c r="N201" s="216"/>
      <c r="O201" s="216"/>
      <c r="P201" s="216"/>
      <c r="Q201" s="216"/>
      <c r="R201" s="216"/>
      <c r="S201" s="216"/>
      <c r="T201" s="216"/>
      <c r="U201" s="216"/>
      <c r="V201" s="216"/>
      <c r="W201" s="216"/>
      <c r="X201" s="216"/>
      <c r="Y201" s="21">
        <f>'Eid List Entry'!E131</f>
        <v>0</v>
      </c>
      <c r="Z201" s="104">
        <f>'Eid List Entry'!D131</f>
        <v>0</v>
      </c>
      <c r="AA201" s="128"/>
      <c r="AB201" s="76"/>
      <c r="AC201" s="217"/>
      <c r="AD201" s="218"/>
      <c r="AE201" s="219"/>
      <c r="AF201" s="218"/>
    </row>
    <row r="202" spans="2:32" ht="15" customHeight="1" x14ac:dyDescent="0.25">
      <c r="B202" s="78" t="str">
        <f>'Eid List Entry'!B132</f>
        <v xml:space="preserve"> </v>
      </c>
      <c r="C202" s="215">
        <f>'Eid List Entry'!C132</f>
        <v>0</v>
      </c>
      <c r="D202" s="216"/>
      <c r="E202" s="216"/>
      <c r="F202" s="216"/>
      <c r="G202" s="216"/>
      <c r="H202" s="216"/>
      <c r="I202" s="216"/>
      <c r="J202" s="216"/>
      <c r="K202" s="216"/>
      <c r="L202" s="216"/>
      <c r="M202" s="216"/>
      <c r="N202" s="216"/>
      <c r="O202" s="216"/>
      <c r="P202" s="216"/>
      <c r="Q202" s="216"/>
      <c r="R202" s="216"/>
      <c r="S202" s="216"/>
      <c r="T202" s="216"/>
      <c r="U202" s="216"/>
      <c r="V202" s="216"/>
      <c r="W202" s="216"/>
      <c r="X202" s="216"/>
      <c r="Y202" s="21">
        <f>'Eid List Entry'!E132</f>
        <v>0</v>
      </c>
      <c r="Z202" s="104">
        <f>'Eid List Entry'!D132</f>
        <v>0</v>
      </c>
      <c r="AA202" s="128"/>
      <c r="AB202" s="76"/>
      <c r="AC202" s="217"/>
      <c r="AD202" s="218"/>
      <c r="AE202" s="219"/>
      <c r="AF202" s="218"/>
    </row>
    <row r="203" spans="2:32" ht="15" customHeight="1" x14ac:dyDescent="0.25">
      <c r="B203" s="78" t="str">
        <f>'Eid List Entry'!B133</f>
        <v xml:space="preserve"> </v>
      </c>
      <c r="C203" s="247">
        <f>'Eid List Entry'!C133</f>
        <v>0</v>
      </c>
      <c r="D203" s="247"/>
      <c r="E203" s="247"/>
      <c r="F203" s="247"/>
      <c r="G203" s="247"/>
      <c r="H203" s="247"/>
      <c r="I203" s="247"/>
      <c r="J203" s="247"/>
      <c r="K203" s="247"/>
      <c r="L203" s="247"/>
      <c r="M203" s="247"/>
      <c r="N203" s="247"/>
      <c r="O203" s="247"/>
      <c r="P203" s="247"/>
      <c r="Q203" s="247"/>
      <c r="R203" s="247"/>
      <c r="S203" s="247"/>
      <c r="T203" s="247"/>
      <c r="U203" s="247"/>
      <c r="V203" s="247"/>
      <c r="W203" s="247"/>
      <c r="X203" s="247"/>
      <c r="Y203" s="129">
        <f>'Eid List Entry'!E133</f>
        <v>0</v>
      </c>
      <c r="Z203" s="104">
        <f>'Eid List Entry'!D133</f>
        <v>0</v>
      </c>
      <c r="AA203" s="76"/>
      <c r="AB203" s="76"/>
      <c r="AC203" s="248"/>
      <c r="AD203" s="248"/>
      <c r="AE203" s="248"/>
      <c r="AF203" s="248"/>
    </row>
    <row r="204" spans="2:32" s="7" customFormat="1" ht="1.5" customHeight="1" x14ac:dyDescent="0.25">
      <c r="B204" s="12"/>
      <c r="C204" s="12"/>
      <c r="D204" s="12"/>
      <c r="E204" s="12"/>
      <c r="F204" s="12"/>
      <c r="G204" s="12"/>
      <c r="H204" s="12"/>
      <c r="I204" s="12"/>
      <c r="J204" s="12"/>
      <c r="K204" s="12"/>
      <c r="L204" s="12"/>
      <c r="M204" s="12"/>
      <c r="N204" s="12"/>
      <c r="O204" s="12"/>
      <c r="P204" s="12"/>
    </row>
    <row r="205" spans="2:32" ht="74.25" customHeight="1" x14ac:dyDescent="0.25">
      <c r="B205" s="12"/>
      <c r="C205" s="12"/>
      <c r="D205" s="12"/>
      <c r="E205" s="12"/>
      <c r="F205" s="12"/>
      <c r="G205" s="12"/>
      <c r="H205" s="12"/>
      <c r="I205" s="12"/>
      <c r="J205" s="12"/>
      <c r="K205" s="12"/>
      <c r="L205" s="12"/>
      <c r="M205" s="12"/>
      <c r="N205" s="12"/>
      <c r="O205" s="12"/>
      <c r="P205" s="12"/>
    </row>
    <row r="206" spans="2:32" ht="18" customHeight="1" x14ac:dyDescent="0.25">
      <c r="B206" s="160" t="s">
        <v>0</v>
      </c>
      <c r="C206" s="249" t="s">
        <v>9</v>
      </c>
      <c r="D206" s="250"/>
      <c r="E206" s="251">
        <f>E177</f>
        <v>1594</v>
      </c>
      <c r="F206" s="252"/>
      <c r="G206" s="252"/>
      <c r="H206" s="252"/>
      <c r="I206" s="252"/>
      <c r="J206" s="252"/>
      <c r="K206" s="252"/>
      <c r="L206" s="252"/>
      <c r="M206" s="252"/>
      <c r="N206" s="252"/>
      <c r="O206" s="252"/>
      <c r="P206" s="252"/>
      <c r="Q206" s="252"/>
      <c r="R206" s="252"/>
      <c r="S206" s="252"/>
      <c r="T206" s="252"/>
      <c r="U206" s="252"/>
      <c r="V206" s="252"/>
      <c r="W206" s="252"/>
      <c r="X206" s="252"/>
      <c r="Y206" s="252"/>
      <c r="Z206" s="253" t="s">
        <v>10</v>
      </c>
      <c r="AA206" s="254"/>
      <c r="AB206" s="259" t="s">
        <v>11</v>
      </c>
      <c r="AC206" s="260"/>
      <c r="AD206" s="261"/>
      <c r="AE206" s="288" t="s">
        <v>12</v>
      </c>
      <c r="AF206" s="289"/>
    </row>
    <row r="207" spans="2:32" ht="18" customHeight="1" x14ac:dyDescent="0.25">
      <c r="B207" s="161">
        <f ca="1">B178</f>
        <v>44621</v>
      </c>
      <c r="C207" s="274" t="s">
        <v>13</v>
      </c>
      <c r="D207" s="274"/>
      <c r="E207" s="274"/>
      <c r="F207" s="274"/>
      <c r="G207" s="274"/>
      <c r="H207" s="274"/>
      <c r="I207" s="274"/>
      <c r="J207" s="274"/>
      <c r="K207" s="274"/>
      <c r="L207" s="275">
        <f>L178</f>
        <v>0</v>
      </c>
      <c r="M207" s="275"/>
      <c r="N207" s="275"/>
      <c r="O207" s="275"/>
      <c r="P207" s="275"/>
      <c r="Q207" s="275"/>
      <c r="R207" s="275"/>
      <c r="S207" s="275"/>
      <c r="T207" s="275"/>
      <c r="U207" s="275"/>
      <c r="V207" s="275"/>
      <c r="W207" s="275"/>
      <c r="X207" s="275"/>
      <c r="Y207" s="275"/>
      <c r="Z207" s="255"/>
      <c r="AA207" s="256"/>
      <c r="AB207" s="262"/>
      <c r="AC207" s="263"/>
      <c r="AD207" s="264"/>
      <c r="AE207" s="290"/>
      <c r="AF207" s="291"/>
    </row>
    <row r="208" spans="2:32" ht="18" customHeight="1" x14ac:dyDescent="0.25">
      <c r="B208" s="159" t="s">
        <v>14</v>
      </c>
      <c r="C208" s="276" t="s">
        <v>15</v>
      </c>
      <c r="D208" s="277"/>
      <c r="E208" s="277"/>
      <c r="F208" s="278"/>
      <c r="G208" s="278">
        <f>G179</f>
        <v>0</v>
      </c>
      <c r="H208" s="278"/>
      <c r="I208" s="278"/>
      <c r="J208" s="278"/>
      <c r="K208" s="278"/>
      <c r="L208" s="278"/>
      <c r="M208" s="278"/>
      <c r="N208" s="278"/>
      <c r="O208" s="278"/>
      <c r="P208" s="278"/>
      <c r="Q208" s="278"/>
      <c r="R208" s="278"/>
      <c r="S208" s="278"/>
      <c r="T208" s="278"/>
      <c r="U208" s="278"/>
      <c r="V208" s="278"/>
      <c r="W208" s="278"/>
      <c r="X208" s="278"/>
      <c r="Y208" s="279"/>
      <c r="Z208" s="257"/>
      <c r="AA208" s="258"/>
      <c r="AB208" s="265"/>
      <c r="AC208" s="266"/>
      <c r="AD208" s="267"/>
      <c r="AE208" s="292"/>
      <c r="AF208" s="293"/>
    </row>
    <row r="209" spans="2:32" ht="18.75" customHeight="1" x14ac:dyDescent="0.25">
      <c r="B209" s="321" t="str">
        <f>_xlfn.CONCAT("8"," ","of"," ",IF(ISBLANK('Eid List Entry'!C14),1,
IF(ISBLANK('Eid List Entry'!C34),2,
IF(ISBLANK('Eid List Entry'!C54),3,
IF(ISBLANK('Eid List Entry'!C74),4,
IF(ISBLANK('Eid List Entry'!C94),5,
IF(ISBLANK('Eid List Entry'!C114),6,
IF(ISBLANK('Eid List Entry'!C134),7,
IF(ISBLANK('Eid List Entry'!C154),8,
IF(ISBLANK('Eid List Entry'!C174),9,
IF(ISBLANK('Eid List Entry'!C194),10,
IF(ISBLANK('Eid List Entry'!C214),11,
IF(ISBLANK('Eid List Entry'!C234),12,
IF(ISBLANK('Eid List Entry'!C254),13))))))))))))))</f>
        <v>8 of 1</v>
      </c>
      <c r="C209" s="280"/>
      <c r="D209" s="281"/>
      <c r="E209" s="281"/>
      <c r="F209" s="281"/>
      <c r="G209" s="281"/>
      <c r="H209" s="281"/>
      <c r="I209" s="281"/>
      <c r="J209" s="281"/>
      <c r="K209" s="281"/>
      <c r="L209" s="281"/>
      <c r="M209" s="281"/>
      <c r="N209" s="281"/>
      <c r="O209" s="281"/>
      <c r="P209" s="281"/>
      <c r="Q209" s="281"/>
      <c r="R209" s="281"/>
      <c r="S209" s="281"/>
      <c r="T209" s="281"/>
      <c r="U209" s="281"/>
      <c r="V209" s="281"/>
      <c r="W209" s="281"/>
      <c r="X209" s="281"/>
      <c r="Y209" s="282"/>
      <c r="Z209" s="286" t="s">
        <v>7</v>
      </c>
      <c r="AA209" s="234" t="s">
        <v>1</v>
      </c>
      <c r="AB209" s="236" t="s">
        <v>21</v>
      </c>
      <c r="AC209" s="237"/>
      <c r="AD209" s="232"/>
      <c r="AE209" s="236" t="s">
        <v>39</v>
      </c>
      <c r="AF209" s="232"/>
    </row>
    <row r="210" spans="2:32" ht="17.25" customHeight="1" x14ac:dyDescent="0.25">
      <c r="B210" s="321"/>
      <c r="C210" s="283"/>
      <c r="D210" s="284"/>
      <c r="E210" s="284"/>
      <c r="F210" s="284"/>
      <c r="G210" s="284"/>
      <c r="H210" s="284"/>
      <c r="I210" s="284"/>
      <c r="J210" s="284"/>
      <c r="K210" s="284"/>
      <c r="L210" s="284"/>
      <c r="M210" s="284"/>
      <c r="N210" s="284"/>
      <c r="O210" s="284"/>
      <c r="P210" s="284"/>
      <c r="Q210" s="284"/>
      <c r="R210" s="284"/>
      <c r="S210" s="284"/>
      <c r="T210" s="284"/>
      <c r="U210" s="284"/>
      <c r="V210" s="284"/>
      <c r="W210" s="284"/>
      <c r="X210" s="284"/>
      <c r="Y210" s="285"/>
      <c r="Z210" s="234"/>
      <c r="AA210" s="234"/>
      <c r="AB210" s="238"/>
      <c r="AC210" s="239"/>
      <c r="AD210" s="233"/>
      <c r="AE210" s="238"/>
      <c r="AF210" s="233"/>
    </row>
    <row r="211" spans="2:32" ht="17.25" customHeight="1" x14ac:dyDescent="0.25">
      <c r="B211" s="322"/>
      <c r="C211" s="287" t="s">
        <v>3</v>
      </c>
      <c r="D211" s="224"/>
      <c r="E211" s="224"/>
      <c r="F211" s="224"/>
      <c r="G211" s="287">
        <f>G182</f>
        <v>0</v>
      </c>
      <c r="H211" s="224"/>
      <c r="I211" s="224"/>
      <c r="J211" s="224"/>
      <c r="K211" s="224"/>
      <c r="L211" s="77"/>
      <c r="M211" s="77"/>
      <c r="N211" s="77"/>
      <c r="O211" s="77"/>
      <c r="P211" s="77"/>
      <c r="Q211" s="77"/>
      <c r="R211" s="77"/>
      <c r="S211" s="77"/>
      <c r="T211" s="77"/>
      <c r="U211" s="77"/>
      <c r="V211" s="77"/>
      <c r="W211" s="77"/>
      <c r="X211" s="77"/>
      <c r="Y211" s="77"/>
      <c r="Z211" s="234"/>
      <c r="AA211" s="235"/>
      <c r="AB211" s="240"/>
      <c r="AC211" s="241"/>
      <c r="AD211" s="242"/>
      <c r="AE211" s="238"/>
      <c r="AF211" s="233"/>
    </row>
    <row r="212" spans="2:32" ht="36.75" customHeight="1" x14ac:dyDescent="0.25">
      <c r="B212" s="68" t="s">
        <v>2</v>
      </c>
      <c r="C212" s="244" t="str">
        <f>C182</f>
        <v xml:space="preserve">Lock Box # </v>
      </c>
      <c r="D212" s="244"/>
      <c r="E212" s="244"/>
      <c r="F212" s="244"/>
      <c r="G212" s="244"/>
      <c r="H212" s="244"/>
      <c r="I212" s="244"/>
      <c r="J212" s="244"/>
      <c r="K212" s="244"/>
      <c r="L212" s="244"/>
      <c r="M212" s="244"/>
      <c r="N212" s="244"/>
      <c r="O212" s="244"/>
      <c r="P212" s="244"/>
      <c r="Q212" s="244"/>
      <c r="R212" s="244"/>
      <c r="S212" s="244"/>
      <c r="T212" s="244"/>
      <c r="U212" s="244"/>
      <c r="V212" s="244"/>
      <c r="W212" s="244"/>
      <c r="X212" s="244"/>
      <c r="Y212" s="80" t="s">
        <v>28</v>
      </c>
      <c r="Z212" s="235"/>
      <c r="AA212" s="79" t="s">
        <v>73</v>
      </c>
      <c r="AB212" s="79" t="s">
        <v>73</v>
      </c>
      <c r="AC212" s="245" t="s">
        <v>73</v>
      </c>
      <c r="AD212" s="246"/>
      <c r="AE212" s="240"/>
      <c r="AF212" s="242"/>
    </row>
    <row r="213" spans="2:32" ht="15" customHeight="1" x14ac:dyDescent="0.25">
      <c r="B213" s="78" t="str">
        <f>'Eid List Entry'!B134</f>
        <v xml:space="preserve"> </v>
      </c>
      <c r="C213" s="215">
        <f>'Eid List Entry'!C134</f>
        <v>0</v>
      </c>
      <c r="D213" s="216"/>
      <c r="E213" s="216"/>
      <c r="F213" s="216"/>
      <c r="G213" s="216"/>
      <c r="H213" s="216"/>
      <c r="I213" s="216"/>
      <c r="J213" s="216"/>
      <c r="K213" s="216"/>
      <c r="L213" s="216"/>
      <c r="M213" s="216"/>
      <c r="N213" s="216"/>
      <c r="O213" s="216"/>
      <c r="P213" s="216"/>
      <c r="Q213" s="216"/>
      <c r="R213" s="216"/>
      <c r="S213" s="216"/>
      <c r="T213" s="216"/>
      <c r="U213" s="216"/>
      <c r="V213" s="216"/>
      <c r="W213" s="216"/>
      <c r="X213" s="216"/>
      <c r="Y213" s="21">
        <f>'Eid List Entry'!E134</f>
        <v>0</v>
      </c>
      <c r="Z213" s="104">
        <f>'Eid List Entry'!D134</f>
        <v>0</v>
      </c>
      <c r="AA213" s="128"/>
      <c r="AB213" s="76"/>
      <c r="AC213" s="217"/>
      <c r="AD213" s="218"/>
      <c r="AE213" s="224"/>
      <c r="AF213" s="225"/>
    </row>
    <row r="214" spans="2:32" ht="15" customHeight="1" x14ac:dyDescent="0.25">
      <c r="B214" s="78" t="str">
        <f>'Eid List Entry'!B135</f>
        <v xml:space="preserve"> </v>
      </c>
      <c r="C214" s="215">
        <f>'Eid List Entry'!C135</f>
        <v>0</v>
      </c>
      <c r="D214" s="216"/>
      <c r="E214" s="216"/>
      <c r="F214" s="216"/>
      <c r="G214" s="216"/>
      <c r="H214" s="216"/>
      <c r="I214" s="216"/>
      <c r="J214" s="216"/>
      <c r="K214" s="216"/>
      <c r="L214" s="216"/>
      <c r="M214" s="216"/>
      <c r="N214" s="216"/>
      <c r="O214" s="216"/>
      <c r="P214" s="216"/>
      <c r="Q214" s="216"/>
      <c r="R214" s="216"/>
      <c r="S214" s="216"/>
      <c r="T214" s="216"/>
      <c r="U214" s="216"/>
      <c r="V214" s="216"/>
      <c r="W214" s="216"/>
      <c r="X214" s="216"/>
      <c r="Y214" s="21">
        <f>'Eid List Entry'!E135</f>
        <v>0</v>
      </c>
      <c r="Z214" s="104">
        <f>'Eid List Entry'!D135</f>
        <v>0</v>
      </c>
      <c r="AA214" s="128"/>
      <c r="AB214" s="76"/>
      <c r="AC214" s="217"/>
      <c r="AD214" s="218"/>
      <c r="AE214" s="219"/>
      <c r="AF214" s="218"/>
    </row>
    <row r="215" spans="2:32" ht="15" customHeight="1" x14ac:dyDescent="0.25">
      <c r="B215" s="78" t="str">
        <f>'Eid List Entry'!B136</f>
        <v xml:space="preserve"> </v>
      </c>
      <c r="C215" s="215">
        <f>'Eid List Entry'!C136</f>
        <v>0</v>
      </c>
      <c r="D215" s="216"/>
      <c r="E215" s="216"/>
      <c r="F215" s="216"/>
      <c r="G215" s="216"/>
      <c r="H215" s="216"/>
      <c r="I215" s="216"/>
      <c r="J215" s="216"/>
      <c r="K215" s="216"/>
      <c r="L215" s="216"/>
      <c r="M215" s="216"/>
      <c r="N215" s="216"/>
      <c r="O215" s="216"/>
      <c r="P215" s="216"/>
      <c r="Q215" s="216"/>
      <c r="R215" s="216"/>
      <c r="S215" s="216"/>
      <c r="T215" s="216"/>
      <c r="U215" s="216"/>
      <c r="V215" s="216"/>
      <c r="W215" s="216"/>
      <c r="X215" s="216"/>
      <c r="Y215" s="21">
        <f>'Eid List Entry'!E136</f>
        <v>0</v>
      </c>
      <c r="Z215" s="104">
        <f>'Eid List Entry'!D136</f>
        <v>0</v>
      </c>
      <c r="AA215" s="128"/>
      <c r="AB215" s="76"/>
      <c r="AC215" s="217"/>
      <c r="AD215" s="218"/>
      <c r="AE215" s="219"/>
      <c r="AF215" s="218"/>
    </row>
    <row r="216" spans="2:32" ht="15" customHeight="1" x14ac:dyDescent="0.25">
      <c r="B216" s="78" t="str">
        <f>'Eid List Entry'!B137</f>
        <v xml:space="preserve"> </v>
      </c>
      <c r="C216" s="215">
        <f>'Eid List Entry'!C137</f>
        <v>0</v>
      </c>
      <c r="D216" s="216"/>
      <c r="E216" s="216"/>
      <c r="F216" s="216"/>
      <c r="G216" s="216"/>
      <c r="H216" s="216"/>
      <c r="I216" s="216"/>
      <c r="J216" s="216"/>
      <c r="K216" s="216"/>
      <c r="L216" s="216"/>
      <c r="M216" s="216"/>
      <c r="N216" s="216"/>
      <c r="O216" s="216"/>
      <c r="P216" s="216"/>
      <c r="Q216" s="216"/>
      <c r="R216" s="216"/>
      <c r="S216" s="216"/>
      <c r="T216" s="216"/>
      <c r="U216" s="216"/>
      <c r="V216" s="216"/>
      <c r="W216" s="216"/>
      <c r="X216" s="216"/>
      <c r="Y216" s="21">
        <f>'Eid List Entry'!E137</f>
        <v>0</v>
      </c>
      <c r="Z216" s="104">
        <f>'Eid List Entry'!D137</f>
        <v>0</v>
      </c>
      <c r="AA216" s="128"/>
      <c r="AB216" s="76"/>
      <c r="AC216" s="217"/>
      <c r="AD216" s="218"/>
      <c r="AE216" s="219"/>
      <c r="AF216" s="218"/>
    </row>
    <row r="217" spans="2:32" ht="15" customHeight="1" x14ac:dyDescent="0.25">
      <c r="B217" s="78" t="str">
        <f>'Eid List Entry'!B138</f>
        <v xml:space="preserve"> </v>
      </c>
      <c r="C217" s="215">
        <f>'Eid List Entry'!C138</f>
        <v>0</v>
      </c>
      <c r="D217" s="216"/>
      <c r="E217" s="216"/>
      <c r="F217" s="216"/>
      <c r="G217" s="216"/>
      <c r="H217" s="216"/>
      <c r="I217" s="216"/>
      <c r="J217" s="216"/>
      <c r="K217" s="216"/>
      <c r="L217" s="216"/>
      <c r="M217" s="216"/>
      <c r="N217" s="216"/>
      <c r="O217" s="216"/>
      <c r="P217" s="216"/>
      <c r="Q217" s="216"/>
      <c r="R217" s="216"/>
      <c r="S217" s="216"/>
      <c r="T217" s="216"/>
      <c r="U217" s="216"/>
      <c r="V217" s="216"/>
      <c r="W217" s="216"/>
      <c r="X217" s="216"/>
      <c r="Y217" s="21">
        <f>'Eid List Entry'!E138</f>
        <v>0</v>
      </c>
      <c r="Z217" s="104">
        <f>'Eid List Entry'!D138</f>
        <v>0</v>
      </c>
      <c r="AA217" s="128"/>
      <c r="AB217" s="76"/>
      <c r="AC217" s="217"/>
      <c r="AD217" s="218"/>
      <c r="AE217" s="219"/>
      <c r="AF217" s="218"/>
    </row>
    <row r="218" spans="2:32" ht="15" customHeight="1" x14ac:dyDescent="0.25">
      <c r="B218" s="78" t="str">
        <f>'Eid List Entry'!B139</f>
        <v xml:space="preserve"> </v>
      </c>
      <c r="C218" s="215">
        <f>'Eid List Entry'!C139</f>
        <v>0</v>
      </c>
      <c r="D218" s="216"/>
      <c r="E218" s="216"/>
      <c r="F218" s="216"/>
      <c r="G218" s="216"/>
      <c r="H218" s="216"/>
      <c r="I218" s="216"/>
      <c r="J218" s="216"/>
      <c r="K218" s="216"/>
      <c r="L218" s="216"/>
      <c r="M218" s="216"/>
      <c r="N218" s="216"/>
      <c r="O218" s="216"/>
      <c r="P218" s="216"/>
      <c r="Q218" s="216"/>
      <c r="R218" s="216"/>
      <c r="S218" s="216"/>
      <c r="T218" s="216"/>
      <c r="U218" s="216"/>
      <c r="V218" s="216"/>
      <c r="W218" s="216"/>
      <c r="X218" s="216"/>
      <c r="Y218" s="21">
        <f>'Eid List Entry'!E139</f>
        <v>0</v>
      </c>
      <c r="Z218" s="104">
        <f>'Eid List Entry'!D139</f>
        <v>0</v>
      </c>
      <c r="AA218" s="128"/>
      <c r="AB218" s="76"/>
      <c r="AC218" s="217"/>
      <c r="AD218" s="218"/>
      <c r="AE218" s="219"/>
      <c r="AF218" s="218"/>
    </row>
    <row r="219" spans="2:32" ht="15" customHeight="1" x14ac:dyDescent="0.25">
      <c r="B219" s="78" t="str">
        <f>'Eid List Entry'!B140</f>
        <v xml:space="preserve"> </v>
      </c>
      <c r="C219" s="215">
        <f>'Eid List Entry'!C140</f>
        <v>0</v>
      </c>
      <c r="D219" s="216"/>
      <c r="E219" s="216"/>
      <c r="F219" s="216"/>
      <c r="G219" s="216"/>
      <c r="H219" s="216"/>
      <c r="I219" s="216"/>
      <c r="J219" s="216"/>
      <c r="K219" s="216"/>
      <c r="L219" s="216"/>
      <c r="M219" s="216"/>
      <c r="N219" s="216"/>
      <c r="O219" s="216"/>
      <c r="P219" s="216"/>
      <c r="Q219" s="216"/>
      <c r="R219" s="216"/>
      <c r="S219" s="216"/>
      <c r="T219" s="216"/>
      <c r="U219" s="216"/>
      <c r="V219" s="216"/>
      <c r="W219" s="216"/>
      <c r="X219" s="216"/>
      <c r="Y219" s="21">
        <f>'Eid List Entry'!E140</f>
        <v>0</v>
      </c>
      <c r="Z219" s="104">
        <f>'Eid List Entry'!D140</f>
        <v>0</v>
      </c>
      <c r="AA219" s="128"/>
      <c r="AB219" s="76"/>
      <c r="AC219" s="217"/>
      <c r="AD219" s="218"/>
      <c r="AE219" s="219"/>
      <c r="AF219" s="218"/>
    </row>
    <row r="220" spans="2:32" ht="15" customHeight="1" x14ac:dyDescent="0.25">
      <c r="B220" s="78" t="str">
        <f>'Eid List Entry'!B141</f>
        <v xml:space="preserve"> </v>
      </c>
      <c r="C220" s="215">
        <f>'Eid List Entry'!C141</f>
        <v>0</v>
      </c>
      <c r="D220" s="216"/>
      <c r="E220" s="216"/>
      <c r="F220" s="216"/>
      <c r="G220" s="216"/>
      <c r="H220" s="216"/>
      <c r="I220" s="216"/>
      <c r="J220" s="216"/>
      <c r="K220" s="216"/>
      <c r="L220" s="216"/>
      <c r="M220" s="216"/>
      <c r="N220" s="216"/>
      <c r="O220" s="216"/>
      <c r="P220" s="216"/>
      <c r="Q220" s="216"/>
      <c r="R220" s="216"/>
      <c r="S220" s="216"/>
      <c r="T220" s="216"/>
      <c r="U220" s="216"/>
      <c r="V220" s="216"/>
      <c r="W220" s="216"/>
      <c r="X220" s="216"/>
      <c r="Y220" s="21">
        <f>'Eid List Entry'!E141</f>
        <v>0</v>
      </c>
      <c r="Z220" s="104">
        <f>'Eid List Entry'!D141</f>
        <v>0</v>
      </c>
      <c r="AA220" s="128"/>
      <c r="AB220" s="76"/>
      <c r="AC220" s="217"/>
      <c r="AD220" s="218"/>
      <c r="AE220" s="219"/>
      <c r="AF220" s="218"/>
    </row>
    <row r="221" spans="2:32" ht="15" customHeight="1" x14ac:dyDescent="0.25">
      <c r="B221" s="78" t="str">
        <f>'Eid List Entry'!B142</f>
        <v xml:space="preserve"> </v>
      </c>
      <c r="C221" s="215">
        <f>'Eid List Entry'!C142</f>
        <v>0</v>
      </c>
      <c r="D221" s="216"/>
      <c r="E221" s="216"/>
      <c r="F221" s="216"/>
      <c r="G221" s="216"/>
      <c r="H221" s="216"/>
      <c r="I221" s="216"/>
      <c r="J221" s="216"/>
      <c r="K221" s="216"/>
      <c r="L221" s="216"/>
      <c r="M221" s="216"/>
      <c r="N221" s="216"/>
      <c r="O221" s="216"/>
      <c r="P221" s="216"/>
      <c r="Q221" s="216"/>
      <c r="R221" s="216"/>
      <c r="S221" s="216"/>
      <c r="T221" s="216"/>
      <c r="U221" s="216"/>
      <c r="V221" s="216"/>
      <c r="W221" s="216"/>
      <c r="X221" s="216"/>
      <c r="Y221" s="21">
        <f>'Eid List Entry'!E142</f>
        <v>0</v>
      </c>
      <c r="Z221" s="104">
        <f>'Eid List Entry'!D142</f>
        <v>0</v>
      </c>
      <c r="AA221" s="128"/>
      <c r="AB221" s="76"/>
      <c r="AC221" s="217"/>
      <c r="AD221" s="218"/>
      <c r="AE221" s="219"/>
      <c r="AF221" s="218"/>
    </row>
    <row r="222" spans="2:32" ht="15" customHeight="1" x14ac:dyDescent="0.25">
      <c r="B222" s="78" t="str">
        <f>'Eid List Entry'!B143</f>
        <v xml:space="preserve"> </v>
      </c>
      <c r="C222" s="215">
        <f>'Eid List Entry'!C143</f>
        <v>0</v>
      </c>
      <c r="D222" s="216"/>
      <c r="E222" s="216"/>
      <c r="F222" s="216"/>
      <c r="G222" s="216"/>
      <c r="H222" s="216"/>
      <c r="I222" s="216"/>
      <c r="J222" s="216"/>
      <c r="K222" s="216"/>
      <c r="L222" s="216"/>
      <c r="M222" s="216"/>
      <c r="N222" s="216"/>
      <c r="O222" s="216"/>
      <c r="P222" s="216"/>
      <c r="Q222" s="216"/>
      <c r="R222" s="216"/>
      <c r="S222" s="216"/>
      <c r="T222" s="216"/>
      <c r="U222" s="216"/>
      <c r="V222" s="216"/>
      <c r="W222" s="216"/>
      <c r="X222" s="216"/>
      <c r="Y222" s="21">
        <f>'Eid List Entry'!E143</f>
        <v>0</v>
      </c>
      <c r="Z222" s="104">
        <f>'Eid List Entry'!D143</f>
        <v>0</v>
      </c>
      <c r="AA222" s="128"/>
      <c r="AB222" s="76"/>
      <c r="AC222" s="217"/>
      <c r="AD222" s="218"/>
      <c r="AE222" s="219"/>
      <c r="AF222" s="218"/>
    </row>
    <row r="223" spans="2:32" ht="15" customHeight="1" x14ac:dyDescent="0.25">
      <c r="B223" s="78" t="str">
        <f>'Eid List Entry'!B144</f>
        <v xml:space="preserve"> </v>
      </c>
      <c r="C223" s="215">
        <f>'Eid List Entry'!C144</f>
        <v>0</v>
      </c>
      <c r="D223" s="216"/>
      <c r="E223" s="216"/>
      <c r="F223" s="216"/>
      <c r="G223" s="216"/>
      <c r="H223" s="216"/>
      <c r="I223" s="216"/>
      <c r="J223" s="216"/>
      <c r="K223" s="216"/>
      <c r="L223" s="216"/>
      <c r="M223" s="216"/>
      <c r="N223" s="216"/>
      <c r="O223" s="216"/>
      <c r="P223" s="216"/>
      <c r="Q223" s="216"/>
      <c r="R223" s="216"/>
      <c r="S223" s="216"/>
      <c r="T223" s="216"/>
      <c r="U223" s="216"/>
      <c r="V223" s="216"/>
      <c r="W223" s="216"/>
      <c r="X223" s="216"/>
      <c r="Y223" s="21">
        <f>'Eid List Entry'!E144</f>
        <v>0</v>
      </c>
      <c r="Z223" s="104">
        <f>'Eid List Entry'!D144</f>
        <v>0</v>
      </c>
      <c r="AA223" s="128"/>
      <c r="AB223" s="76"/>
      <c r="AC223" s="217"/>
      <c r="AD223" s="218"/>
      <c r="AE223" s="219"/>
      <c r="AF223" s="218"/>
    </row>
    <row r="224" spans="2:32" ht="15" customHeight="1" x14ac:dyDescent="0.25">
      <c r="B224" s="78" t="str">
        <f>'Eid List Entry'!B145</f>
        <v xml:space="preserve"> </v>
      </c>
      <c r="C224" s="215">
        <f>'Eid List Entry'!C145</f>
        <v>0</v>
      </c>
      <c r="D224" s="216"/>
      <c r="E224" s="216"/>
      <c r="F224" s="216"/>
      <c r="G224" s="216"/>
      <c r="H224" s="216"/>
      <c r="I224" s="216"/>
      <c r="J224" s="216"/>
      <c r="K224" s="216"/>
      <c r="L224" s="216"/>
      <c r="M224" s="216"/>
      <c r="N224" s="216"/>
      <c r="O224" s="216"/>
      <c r="P224" s="216"/>
      <c r="Q224" s="216"/>
      <c r="R224" s="216"/>
      <c r="S224" s="216"/>
      <c r="T224" s="216"/>
      <c r="U224" s="216"/>
      <c r="V224" s="216"/>
      <c r="W224" s="216"/>
      <c r="X224" s="216"/>
      <c r="Y224" s="21">
        <f>'Eid List Entry'!E145</f>
        <v>0</v>
      </c>
      <c r="Z224" s="104">
        <f>'Eid List Entry'!D145</f>
        <v>0</v>
      </c>
      <c r="AA224" s="81"/>
      <c r="AB224" s="82"/>
      <c r="AC224" s="220"/>
      <c r="AD224" s="221"/>
      <c r="AE224" s="222"/>
      <c r="AF224" s="223"/>
    </row>
    <row r="225" spans="2:34" ht="15" customHeight="1" x14ac:dyDescent="0.25">
      <c r="B225" s="78" t="str">
        <f>'Eid List Entry'!B146</f>
        <v xml:space="preserve"> </v>
      </c>
      <c r="C225" s="215">
        <f>'Eid List Entry'!C146</f>
        <v>0</v>
      </c>
      <c r="D225" s="216"/>
      <c r="E225" s="216"/>
      <c r="F225" s="216"/>
      <c r="G225" s="216"/>
      <c r="H225" s="216"/>
      <c r="I225" s="216"/>
      <c r="J225" s="216"/>
      <c r="K225" s="216"/>
      <c r="L225" s="216"/>
      <c r="M225" s="216"/>
      <c r="N225" s="216"/>
      <c r="O225" s="216"/>
      <c r="P225" s="216"/>
      <c r="Q225" s="216"/>
      <c r="R225" s="216"/>
      <c r="S225" s="216"/>
      <c r="T225" s="216"/>
      <c r="U225" s="216"/>
      <c r="V225" s="216"/>
      <c r="W225" s="216"/>
      <c r="X225" s="216"/>
      <c r="Y225" s="21">
        <f>'Eid List Entry'!E146</f>
        <v>0</v>
      </c>
      <c r="Z225" s="104">
        <f>'Eid List Entry'!D146</f>
        <v>0</v>
      </c>
      <c r="AA225" s="128"/>
      <c r="AB225" s="82"/>
      <c r="AC225" s="217"/>
      <c r="AD225" s="218"/>
      <c r="AE225" s="219"/>
      <c r="AF225" s="218"/>
    </row>
    <row r="226" spans="2:34" ht="15" customHeight="1" x14ac:dyDescent="0.25">
      <c r="B226" s="78" t="str">
        <f>'Eid List Entry'!B147</f>
        <v xml:space="preserve"> </v>
      </c>
      <c r="C226" s="215">
        <f>'Eid List Entry'!C147</f>
        <v>0</v>
      </c>
      <c r="D226" s="216"/>
      <c r="E226" s="216"/>
      <c r="F226" s="216"/>
      <c r="G226" s="216"/>
      <c r="H226" s="216"/>
      <c r="I226" s="216"/>
      <c r="J226" s="216"/>
      <c r="K226" s="216"/>
      <c r="L226" s="216"/>
      <c r="M226" s="216"/>
      <c r="N226" s="216"/>
      <c r="O226" s="216"/>
      <c r="P226" s="216"/>
      <c r="Q226" s="216"/>
      <c r="R226" s="216"/>
      <c r="S226" s="216"/>
      <c r="T226" s="216"/>
      <c r="U226" s="216"/>
      <c r="V226" s="216"/>
      <c r="W226" s="216"/>
      <c r="X226" s="216"/>
      <c r="Y226" s="21">
        <f>'Eid List Entry'!E147</f>
        <v>0</v>
      </c>
      <c r="Z226" s="104">
        <f>'Eid List Entry'!D147</f>
        <v>0</v>
      </c>
      <c r="AA226" s="128"/>
      <c r="AB226" s="76"/>
      <c r="AC226" s="217"/>
      <c r="AD226" s="218"/>
      <c r="AE226" s="219"/>
      <c r="AF226" s="218"/>
    </row>
    <row r="227" spans="2:34" ht="15" customHeight="1" x14ac:dyDescent="0.25">
      <c r="B227" s="78" t="str">
        <f>'Eid List Entry'!B148</f>
        <v xml:space="preserve"> </v>
      </c>
      <c r="C227" s="215">
        <f>'Eid List Entry'!C148</f>
        <v>0</v>
      </c>
      <c r="D227" s="216"/>
      <c r="E227" s="216"/>
      <c r="F227" s="216"/>
      <c r="G227" s="216"/>
      <c r="H227" s="216"/>
      <c r="I227" s="216"/>
      <c r="J227" s="216"/>
      <c r="K227" s="216"/>
      <c r="L227" s="216"/>
      <c r="M227" s="216"/>
      <c r="N227" s="216"/>
      <c r="O227" s="216"/>
      <c r="P227" s="216"/>
      <c r="Q227" s="216"/>
      <c r="R227" s="216"/>
      <c r="S227" s="216"/>
      <c r="T227" s="216"/>
      <c r="U227" s="216"/>
      <c r="V227" s="216"/>
      <c r="W227" s="216"/>
      <c r="X227" s="216"/>
      <c r="Y227" s="21">
        <f>'Eid List Entry'!E148</f>
        <v>0</v>
      </c>
      <c r="Z227" s="104">
        <f>'Eid List Entry'!D148</f>
        <v>0</v>
      </c>
      <c r="AA227" s="128"/>
      <c r="AB227" s="76"/>
      <c r="AC227" s="217"/>
      <c r="AD227" s="218"/>
      <c r="AE227" s="219"/>
      <c r="AF227" s="218"/>
    </row>
    <row r="228" spans="2:34" ht="15" customHeight="1" x14ac:dyDescent="0.25">
      <c r="B228" s="78" t="str">
        <f>'Eid List Entry'!B149</f>
        <v xml:space="preserve"> </v>
      </c>
      <c r="C228" s="215">
        <f>'Eid List Entry'!C149</f>
        <v>0</v>
      </c>
      <c r="D228" s="216"/>
      <c r="E228" s="216"/>
      <c r="F228" s="216"/>
      <c r="G228" s="216"/>
      <c r="H228" s="216"/>
      <c r="I228" s="216"/>
      <c r="J228" s="216"/>
      <c r="K228" s="216"/>
      <c r="L228" s="216"/>
      <c r="M228" s="216"/>
      <c r="N228" s="216"/>
      <c r="O228" s="216"/>
      <c r="P228" s="216"/>
      <c r="Q228" s="216"/>
      <c r="R228" s="216"/>
      <c r="S228" s="216"/>
      <c r="T228" s="216"/>
      <c r="U228" s="216"/>
      <c r="V228" s="216"/>
      <c r="W228" s="216"/>
      <c r="X228" s="216"/>
      <c r="Y228" s="21">
        <f>'Eid List Entry'!E149</f>
        <v>0</v>
      </c>
      <c r="Z228" s="104">
        <f>'Eid List Entry'!D149</f>
        <v>0</v>
      </c>
      <c r="AA228" s="128"/>
      <c r="AB228" s="76"/>
      <c r="AC228" s="217"/>
      <c r="AD228" s="218"/>
      <c r="AE228" s="219"/>
      <c r="AF228" s="218"/>
    </row>
    <row r="229" spans="2:34" ht="15" customHeight="1" x14ac:dyDescent="0.25">
      <c r="B229" s="78" t="str">
        <f>'Eid List Entry'!B150</f>
        <v xml:space="preserve"> </v>
      </c>
      <c r="C229" s="215">
        <f>'Eid List Entry'!C150</f>
        <v>0</v>
      </c>
      <c r="D229" s="216"/>
      <c r="E229" s="216"/>
      <c r="F229" s="216"/>
      <c r="G229" s="216"/>
      <c r="H229" s="216"/>
      <c r="I229" s="216"/>
      <c r="J229" s="216"/>
      <c r="K229" s="216"/>
      <c r="L229" s="216"/>
      <c r="M229" s="216"/>
      <c r="N229" s="216"/>
      <c r="O229" s="216"/>
      <c r="P229" s="216"/>
      <c r="Q229" s="216"/>
      <c r="R229" s="216"/>
      <c r="S229" s="216"/>
      <c r="T229" s="216"/>
      <c r="U229" s="216"/>
      <c r="V229" s="216"/>
      <c r="W229" s="216"/>
      <c r="X229" s="216"/>
      <c r="Y229" s="21">
        <f>'Eid List Entry'!E150</f>
        <v>0</v>
      </c>
      <c r="Z229" s="104">
        <f>'Eid List Entry'!D150</f>
        <v>0</v>
      </c>
      <c r="AA229" s="128"/>
      <c r="AB229" s="76"/>
      <c r="AC229" s="217"/>
      <c r="AD229" s="218"/>
      <c r="AE229" s="219"/>
      <c r="AF229" s="218"/>
    </row>
    <row r="230" spans="2:34" ht="15" customHeight="1" x14ac:dyDescent="0.25">
      <c r="B230" s="78" t="str">
        <f>'Eid List Entry'!B151</f>
        <v xml:space="preserve"> </v>
      </c>
      <c r="C230" s="215">
        <f>'Eid List Entry'!C151</f>
        <v>0</v>
      </c>
      <c r="D230" s="216"/>
      <c r="E230" s="216"/>
      <c r="F230" s="216"/>
      <c r="G230" s="216"/>
      <c r="H230" s="216"/>
      <c r="I230" s="216"/>
      <c r="J230" s="216"/>
      <c r="K230" s="216"/>
      <c r="L230" s="216"/>
      <c r="M230" s="216"/>
      <c r="N230" s="216"/>
      <c r="O230" s="216"/>
      <c r="P230" s="216"/>
      <c r="Q230" s="216"/>
      <c r="R230" s="216"/>
      <c r="S230" s="216"/>
      <c r="T230" s="216"/>
      <c r="U230" s="216"/>
      <c r="V230" s="216"/>
      <c r="W230" s="216"/>
      <c r="X230" s="216"/>
      <c r="Y230" s="21">
        <f>'Eid List Entry'!E151</f>
        <v>0</v>
      </c>
      <c r="Z230" s="104">
        <f>'Eid List Entry'!D151</f>
        <v>0</v>
      </c>
      <c r="AA230" s="128"/>
      <c r="AB230" s="76"/>
      <c r="AC230" s="217"/>
      <c r="AD230" s="218"/>
      <c r="AE230" s="219"/>
      <c r="AF230" s="218"/>
    </row>
    <row r="231" spans="2:34" ht="15" customHeight="1" x14ac:dyDescent="0.25">
      <c r="B231" s="78" t="str">
        <f>'Eid List Entry'!B152</f>
        <v xml:space="preserve"> </v>
      </c>
      <c r="C231" s="215">
        <f>'Eid List Entry'!C152</f>
        <v>0</v>
      </c>
      <c r="D231" s="216"/>
      <c r="E231" s="216"/>
      <c r="F231" s="216"/>
      <c r="G231" s="216"/>
      <c r="H231" s="216"/>
      <c r="I231" s="216"/>
      <c r="J231" s="216"/>
      <c r="K231" s="216"/>
      <c r="L231" s="216"/>
      <c r="M231" s="216"/>
      <c r="N231" s="216"/>
      <c r="O231" s="216"/>
      <c r="P231" s="216"/>
      <c r="Q231" s="216"/>
      <c r="R231" s="216"/>
      <c r="S231" s="216"/>
      <c r="T231" s="216"/>
      <c r="U231" s="216"/>
      <c r="V231" s="216"/>
      <c r="W231" s="216"/>
      <c r="X231" s="216"/>
      <c r="Y231" s="21">
        <f>'Eid List Entry'!E152</f>
        <v>0</v>
      </c>
      <c r="Z231" s="104">
        <f>'Eid List Entry'!D152</f>
        <v>0</v>
      </c>
      <c r="AA231" s="128"/>
      <c r="AB231" s="76"/>
      <c r="AC231" s="217"/>
      <c r="AD231" s="218"/>
      <c r="AE231" s="219"/>
      <c r="AF231" s="218"/>
    </row>
    <row r="232" spans="2:34" ht="15" customHeight="1" x14ac:dyDescent="0.25">
      <c r="B232" s="78" t="str">
        <f>'Eid List Entry'!B153</f>
        <v xml:space="preserve"> </v>
      </c>
      <c r="C232" s="215">
        <f>'Eid List Entry'!C153</f>
        <v>0</v>
      </c>
      <c r="D232" s="216"/>
      <c r="E232" s="216"/>
      <c r="F232" s="216"/>
      <c r="G232" s="216"/>
      <c r="H232" s="216"/>
      <c r="I232" s="216"/>
      <c r="J232" s="216"/>
      <c r="K232" s="216"/>
      <c r="L232" s="216"/>
      <c r="M232" s="216"/>
      <c r="N232" s="216"/>
      <c r="O232" s="216"/>
      <c r="P232" s="216"/>
      <c r="Q232" s="216"/>
      <c r="R232" s="216"/>
      <c r="S232" s="216"/>
      <c r="T232" s="216"/>
      <c r="U232" s="216"/>
      <c r="V232" s="216"/>
      <c r="W232" s="216"/>
      <c r="X232" s="216"/>
      <c r="Y232" s="21">
        <f>'Eid List Entry'!E153</f>
        <v>0</v>
      </c>
      <c r="Z232" s="104">
        <f>'Eid List Entry'!D153</f>
        <v>0</v>
      </c>
      <c r="AA232" s="128"/>
      <c r="AB232" s="76"/>
      <c r="AC232" s="217"/>
      <c r="AD232" s="218"/>
      <c r="AE232" s="219"/>
      <c r="AF232" s="218"/>
    </row>
    <row r="233" spans="2:34" ht="0.75" customHeight="1" x14ac:dyDescent="0.25">
      <c r="B233" s="23" t="s">
        <v>70</v>
      </c>
      <c r="C233" s="26" t="s">
        <v>70</v>
      </c>
      <c r="D233" s="26"/>
      <c r="E233" s="26"/>
      <c r="F233" s="26"/>
      <c r="G233" s="26"/>
      <c r="H233" s="26"/>
      <c r="I233" s="26"/>
      <c r="J233" s="26"/>
      <c r="K233" s="26"/>
      <c r="L233" s="26"/>
      <c r="M233" s="26"/>
      <c r="N233" s="26"/>
      <c r="O233" s="26"/>
      <c r="P233" s="26"/>
      <c r="Q233" s="26"/>
      <c r="R233" s="26"/>
      <c r="S233" s="26"/>
      <c r="T233" s="26"/>
      <c r="U233" s="26"/>
      <c r="V233" s="26"/>
      <c r="W233" s="26"/>
      <c r="X233" s="26"/>
      <c r="Y233" s="21">
        <f>'Eid List Entry'!E154</f>
        <v>0</v>
      </c>
      <c r="Z233" s="25" t="s">
        <v>70</v>
      </c>
      <c r="AA233" s="10"/>
      <c r="AB233" s="10"/>
      <c r="AC233" s="9"/>
      <c r="AD233" s="9"/>
      <c r="AE233" s="9"/>
      <c r="AF233" s="9"/>
      <c r="AG233" s="7"/>
      <c r="AH233" s="7"/>
    </row>
    <row r="234" spans="2:34" ht="78" customHeight="1" x14ac:dyDescent="0.25">
      <c r="B234" s="12"/>
      <c r="C234" s="12"/>
      <c r="D234" s="12"/>
      <c r="E234" s="12"/>
      <c r="F234" s="12"/>
      <c r="G234" s="12"/>
      <c r="H234" s="12"/>
      <c r="I234" s="12"/>
      <c r="J234" s="12"/>
      <c r="K234" s="12"/>
      <c r="L234" s="12"/>
      <c r="M234" s="12"/>
      <c r="N234" s="12"/>
      <c r="O234" s="12"/>
      <c r="P234" s="12"/>
    </row>
    <row r="235" spans="2:34" ht="18" customHeight="1" x14ac:dyDescent="0.25">
      <c r="B235" s="160" t="s">
        <v>0</v>
      </c>
      <c r="C235" s="249" t="s">
        <v>9</v>
      </c>
      <c r="D235" s="250"/>
      <c r="E235" s="251">
        <f>E206</f>
        <v>1594</v>
      </c>
      <c r="F235" s="252"/>
      <c r="G235" s="252"/>
      <c r="H235" s="252"/>
      <c r="I235" s="252"/>
      <c r="J235" s="252"/>
      <c r="K235" s="252"/>
      <c r="L235" s="252"/>
      <c r="M235" s="252"/>
      <c r="N235" s="252"/>
      <c r="O235" s="252"/>
      <c r="P235" s="252"/>
      <c r="Q235" s="252"/>
      <c r="R235" s="252"/>
      <c r="S235" s="252"/>
      <c r="T235" s="252"/>
      <c r="U235" s="252"/>
      <c r="V235" s="252"/>
      <c r="W235" s="252"/>
      <c r="X235" s="252"/>
      <c r="Y235" s="252"/>
      <c r="Z235" s="253" t="s">
        <v>10</v>
      </c>
      <c r="AA235" s="254"/>
      <c r="AB235" s="259" t="s">
        <v>11</v>
      </c>
      <c r="AC235" s="260"/>
      <c r="AD235" s="261"/>
      <c r="AE235" s="268" t="s">
        <v>12</v>
      </c>
      <c r="AF235" s="269"/>
    </row>
    <row r="236" spans="2:34" ht="18" customHeight="1" x14ac:dyDescent="0.25">
      <c r="B236" s="161">
        <f ca="1">B207</f>
        <v>44621</v>
      </c>
      <c r="C236" s="274" t="s">
        <v>13</v>
      </c>
      <c r="D236" s="274"/>
      <c r="E236" s="274"/>
      <c r="F236" s="274"/>
      <c r="G236" s="274"/>
      <c r="H236" s="274"/>
      <c r="I236" s="274"/>
      <c r="J236" s="274"/>
      <c r="K236" s="274"/>
      <c r="L236" s="275">
        <f>L207</f>
        <v>0</v>
      </c>
      <c r="M236" s="275"/>
      <c r="N236" s="275"/>
      <c r="O236" s="275"/>
      <c r="P236" s="275"/>
      <c r="Q236" s="275"/>
      <c r="R236" s="275"/>
      <c r="S236" s="275"/>
      <c r="T236" s="275"/>
      <c r="U236" s="275"/>
      <c r="V236" s="275"/>
      <c r="W236" s="275"/>
      <c r="X236" s="275"/>
      <c r="Y236" s="275"/>
      <c r="Z236" s="255"/>
      <c r="AA236" s="256"/>
      <c r="AB236" s="262"/>
      <c r="AC236" s="263"/>
      <c r="AD236" s="264"/>
      <c r="AE236" s="270"/>
      <c r="AF236" s="271"/>
    </row>
    <row r="237" spans="2:34" ht="18" customHeight="1" x14ac:dyDescent="0.25">
      <c r="B237" s="159" t="s">
        <v>14</v>
      </c>
      <c r="C237" s="276" t="s">
        <v>15</v>
      </c>
      <c r="D237" s="277"/>
      <c r="E237" s="277"/>
      <c r="F237" s="278"/>
      <c r="G237" s="278">
        <f>G208</f>
        <v>0</v>
      </c>
      <c r="H237" s="278"/>
      <c r="I237" s="278"/>
      <c r="J237" s="278"/>
      <c r="K237" s="278"/>
      <c r="L237" s="278"/>
      <c r="M237" s="278"/>
      <c r="N237" s="278"/>
      <c r="O237" s="278"/>
      <c r="P237" s="278"/>
      <c r="Q237" s="278"/>
      <c r="R237" s="278"/>
      <c r="S237" s="278"/>
      <c r="T237" s="278"/>
      <c r="U237" s="278"/>
      <c r="V237" s="278"/>
      <c r="W237" s="278"/>
      <c r="X237" s="278"/>
      <c r="Y237" s="279"/>
      <c r="Z237" s="257"/>
      <c r="AA237" s="258"/>
      <c r="AB237" s="265"/>
      <c r="AC237" s="266"/>
      <c r="AD237" s="267"/>
      <c r="AE237" s="272"/>
      <c r="AF237" s="273"/>
    </row>
    <row r="238" spans="2:34" ht="18.75" customHeight="1" x14ac:dyDescent="0.25">
      <c r="B238" s="321" t="str">
        <f>_xlfn.CONCAT("9"," ","of"," ",IF(ISBLANK('Eid List Entry'!C14),1,
IF(ISBLANK('Eid List Entry'!C34),2,
IF(ISBLANK('Eid List Entry'!C54),3,
IF(ISBLANK('Eid List Entry'!C74),4,
IF(ISBLANK('Eid List Entry'!C94),5,
IF(ISBLANK('Eid List Entry'!C114),6,
IF(ISBLANK('Eid List Entry'!C134),7,
IF(ISBLANK('Eid List Entry'!C154),8,
IF(ISBLANK('Eid List Entry'!C174),9,
IF(ISBLANK('Eid List Entry'!C194),10,
IF(ISBLANK('Eid List Entry'!C214),11,
IF(ISBLANK('Eid List Entry'!C234),12,
IF(ISBLANK('Eid List Entry'!C254),13))))))))))))))</f>
        <v>9 of 1</v>
      </c>
      <c r="C238" s="226"/>
      <c r="D238" s="227"/>
      <c r="E238" s="227"/>
      <c r="F238" s="227"/>
      <c r="G238" s="227"/>
      <c r="H238" s="227"/>
      <c r="I238" s="227"/>
      <c r="J238" s="227"/>
      <c r="K238" s="227"/>
      <c r="L238" s="227"/>
      <c r="M238" s="227"/>
      <c r="N238" s="227"/>
      <c r="O238" s="227"/>
      <c r="P238" s="227"/>
      <c r="Q238" s="227"/>
      <c r="R238" s="227"/>
      <c r="S238" s="227"/>
      <c r="T238" s="227"/>
      <c r="U238" s="227"/>
      <c r="V238" s="227"/>
      <c r="W238" s="227"/>
      <c r="X238" s="227"/>
      <c r="Y238" s="228"/>
      <c r="Z238" s="232" t="s">
        <v>7</v>
      </c>
      <c r="AA238" s="234" t="s">
        <v>1</v>
      </c>
      <c r="AB238" s="236" t="s">
        <v>21</v>
      </c>
      <c r="AC238" s="237"/>
      <c r="AD238" s="232"/>
      <c r="AE238" s="236" t="s">
        <v>39</v>
      </c>
      <c r="AF238" s="232"/>
    </row>
    <row r="239" spans="2:34" ht="17.25" customHeight="1" x14ac:dyDescent="0.25">
      <c r="B239" s="321"/>
      <c r="C239" s="229"/>
      <c r="D239" s="230"/>
      <c r="E239" s="230"/>
      <c r="F239" s="230"/>
      <c r="G239" s="230"/>
      <c r="H239" s="230"/>
      <c r="I239" s="230"/>
      <c r="J239" s="230"/>
      <c r="K239" s="230"/>
      <c r="L239" s="230"/>
      <c r="M239" s="230"/>
      <c r="N239" s="230"/>
      <c r="O239" s="230"/>
      <c r="P239" s="230"/>
      <c r="Q239" s="230"/>
      <c r="R239" s="230"/>
      <c r="S239" s="230"/>
      <c r="T239" s="230"/>
      <c r="U239" s="230"/>
      <c r="V239" s="230"/>
      <c r="W239" s="230"/>
      <c r="X239" s="230"/>
      <c r="Y239" s="231"/>
      <c r="Z239" s="233"/>
      <c r="AA239" s="234"/>
      <c r="AB239" s="238"/>
      <c r="AC239" s="239"/>
      <c r="AD239" s="233"/>
      <c r="AE239" s="238"/>
      <c r="AF239" s="233"/>
    </row>
    <row r="240" spans="2:34" ht="17.25" customHeight="1" x14ac:dyDescent="0.25">
      <c r="B240" s="322"/>
      <c r="C240" s="243" t="s">
        <v>3</v>
      </c>
      <c r="D240" s="222"/>
      <c r="E240" s="222"/>
      <c r="F240" s="222"/>
      <c r="G240" s="243">
        <f>G211</f>
        <v>0</v>
      </c>
      <c r="H240" s="222"/>
      <c r="I240" s="222"/>
      <c r="J240" s="222"/>
      <c r="K240" s="222"/>
      <c r="L240" s="121"/>
      <c r="M240" s="121"/>
      <c r="N240" s="121"/>
      <c r="O240" s="121"/>
      <c r="P240" s="121"/>
      <c r="Q240" s="121"/>
      <c r="R240" s="121"/>
      <c r="S240" s="121"/>
      <c r="T240" s="121"/>
      <c r="U240" s="121"/>
      <c r="V240" s="121"/>
      <c r="W240" s="121"/>
      <c r="X240" s="121"/>
      <c r="Y240" s="121"/>
      <c r="Z240" s="234"/>
      <c r="AA240" s="235"/>
      <c r="AB240" s="240"/>
      <c r="AC240" s="241"/>
      <c r="AD240" s="242"/>
      <c r="AE240" s="238"/>
      <c r="AF240" s="233"/>
    </row>
    <row r="241" spans="2:32" ht="33.75" customHeight="1" x14ac:dyDescent="0.25">
      <c r="B241" s="68" t="s">
        <v>2</v>
      </c>
      <c r="C241" s="244" t="str">
        <f>C211</f>
        <v xml:space="preserve">Lock Box # </v>
      </c>
      <c r="D241" s="244"/>
      <c r="E241" s="244"/>
      <c r="F241" s="244"/>
      <c r="G241" s="244"/>
      <c r="H241" s="244"/>
      <c r="I241" s="244"/>
      <c r="J241" s="244"/>
      <c r="K241" s="244"/>
      <c r="L241" s="244"/>
      <c r="M241" s="244"/>
      <c r="N241" s="244"/>
      <c r="O241" s="244"/>
      <c r="P241" s="244"/>
      <c r="Q241" s="244"/>
      <c r="R241" s="244"/>
      <c r="S241" s="244"/>
      <c r="T241" s="244"/>
      <c r="U241" s="244"/>
      <c r="V241" s="244"/>
      <c r="W241" s="244"/>
      <c r="X241" s="244"/>
      <c r="Y241" s="80" t="s">
        <v>28</v>
      </c>
      <c r="Z241" s="235"/>
      <c r="AA241" s="79" t="s">
        <v>73</v>
      </c>
      <c r="AB241" s="79" t="s">
        <v>73</v>
      </c>
      <c r="AC241" s="245" t="s">
        <v>73</v>
      </c>
      <c r="AD241" s="246"/>
      <c r="AE241" s="240"/>
      <c r="AF241" s="242"/>
    </row>
    <row r="242" spans="2:32" ht="15" customHeight="1" x14ac:dyDescent="0.25">
      <c r="B242" s="78" t="str">
        <f>'Eid List Entry'!B154</f>
        <v xml:space="preserve"> </v>
      </c>
      <c r="C242" s="215">
        <f>'Eid List Entry'!C154</f>
        <v>0</v>
      </c>
      <c r="D242" s="216"/>
      <c r="E242" s="216"/>
      <c r="F242" s="216"/>
      <c r="G242" s="216"/>
      <c r="H242" s="216"/>
      <c r="I242" s="216"/>
      <c r="J242" s="216"/>
      <c r="K242" s="216"/>
      <c r="L242" s="216"/>
      <c r="M242" s="216"/>
      <c r="N242" s="216"/>
      <c r="O242" s="216"/>
      <c r="P242" s="216"/>
      <c r="Q242" s="216"/>
      <c r="R242" s="216"/>
      <c r="S242" s="216"/>
      <c r="T242" s="216"/>
      <c r="U242" s="216"/>
      <c r="V242" s="216"/>
      <c r="W242" s="216"/>
      <c r="X242" s="216"/>
      <c r="Y242" s="21">
        <f>'Eid List Entry'!E154</f>
        <v>0</v>
      </c>
      <c r="Z242" s="104">
        <f>'Eid List Entry'!D154</f>
        <v>0</v>
      </c>
      <c r="AA242" s="128"/>
      <c r="AB242" s="76"/>
      <c r="AC242" s="217"/>
      <c r="AD242" s="218"/>
      <c r="AE242" s="224"/>
      <c r="AF242" s="225"/>
    </row>
    <row r="243" spans="2:32" ht="15" customHeight="1" x14ac:dyDescent="0.25">
      <c r="B243" s="78" t="str">
        <f>'Eid List Entry'!B155</f>
        <v xml:space="preserve"> </v>
      </c>
      <c r="C243" s="215">
        <f>'Eid List Entry'!C155</f>
        <v>0</v>
      </c>
      <c r="D243" s="216"/>
      <c r="E243" s="216"/>
      <c r="F243" s="216"/>
      <c r="G243" s="216"/>
      <c r="H243" s="216"/>
      <c r="I243" s="216"/>
      <c r="J243" s="216"/>
      <c r="K243" s="216"/>
      <c r="L243" s="216"/>
      <c r="M243" s="216"/>
      <c r="N243" s="216"/>
      <c r="O243" s="216"/>
      <c r="P243" s="216"/>
      <c r="Q243" s="216"/>
      <c r="R243" s="216"/>
      <c r="S243" s="216"/>
      <c r="T243" s="216"/>
      <c r="U243" s="216"/>
      <c r="V243" s="216"/>
      <c r="W243" s="216"/>
      <c r="X243" s="216"/>
      <c r="Y243" s="21">
        <f>'Eid List Entry'!E155</f>
        <v>0</v>
      </c>
      <c r="Z243" s="104">
        <f>'Eid List Entry'!D155</f>
        <v>0</v>
      </c>
      <c r="AA243" s="128"/>
      <c r="AB243" s="76"/>
      <c r="AC243" s="217"/>
      <c r="AD243" s="218"/>
      <c r="AE243" s="219"/>
      <c r="AF243" s="218"/>
    </row>
    <row r="244" spans="2:32" ht="15" customHeight="1" x14ac:dyDescent="0.25">
      <c r="B244" s="78" t="str">
        <f>'Eid List Entry'!B156</f>
        <v xml:space="preserve"> </v>
      </c>
      <c r="C244" s="215">
        <f>'Eid List Entry'!C156</f>
        <v>0</v>
      </c>
      <c r="D244" s="216"/>
      <c r="E244" s="216"/>
      <c r="F244" s="216"/>
      <c r="G244" s="216"/>
      <c r="H244" s="216"/>
      <c r="I244" s="216"/>
      <c r="J244" s="216"/>
      <c r="K244" s="216"/>
      <c r="L244" s="216"/>
      <c r="M244" s="216"/>
      <c r="N244" s="216"/>
      <c r="O244" s="216"/>
      <c r="P244" s="216"/>
      <c r="Q244" s="216"/>
      <c r="R244" s="216"/>
      <c r="S244" s="216"/>
      <c r="T244" s="216"/>
      <c r="U244" s="216"/>
      <c r="V244" s="216"/>
      <c r="W244" s="216"/>
      <c r="X244" s="216"/>
      <c r="Y244" s="21">
        <f>'Eid List Entry'!E156</f>
        <v>0</v>
      </c>
      <c r="Z244" s="104">
        <f>'Eid List Entry'!D156</f>
        <v>0</v>
      </c>
      <c r="AA244" s="128"/>
      <c r="AB244" s="76"/>
      <c r="AC244" s="217"/>
      <c r="AD244" s="218"/>
      <c r="AE244" s="219"/>
      <c r="AF244" s="218"/>
    </row>
    <row r="245" spans="2:32" ht="15" customHeight="1" x14ac:dyDescent="0.25">
      <c r="B245" s="78" t="str">
        <f>'Eid List Entry'!B157</f>
        <v xml:space="preserve"> </v>
      </c>
      <c r="C245" s="215">
        <f>'Eid List Entry'!C157</f>
        <v>0</v>
      </c>
      <c r="D245" s="216"/>
      <c r="E245" s="216"/>
      <c r="F245" s="216"/>
      <c r="G245" s="216"/>
      <c r="H245" s="216"/>
      <c r="I245" s="216"/>
      <c r="J245" s="216"/>
      <c r="K245" s="216"/>
      <c r="L245" s="216"/>
      <c r="M245" s="216"/>
      <c r="N245" s="216"/>
      <c r="O245" s="216"/>
      <c r="P245" s="216"/>
      <c r="Q245" s="216"/>
      <c r="R245" s="216"/>
      <c r="S245" s="216"/>
      <c r="T245" s="216"/>
      <c r="U245" s="216"/>
      <c r="V245" s="216"/>
      <c r="W245" s="216"/>
      <c r="X245" s="216"/>
      <c r="Y245" s="21">
        <f>'Eid List Entry'!E157</f>
        <v>0</v>
      </c>
      <c r="Z245" s="104">
        <f>'Eid List Entry'!D157</f>
        <v>0</v>
      </c>
      <c r="AA245" s="128"/>
      <c r="AB245" s="76"/>
      <c r="AC245" s="217"/>
      <c r="AD245" s="218"/>
      <c r="AE245" s="219"/>
      <c r="AF245" s="218"/>
    </row>
    <row r="246" spans="2:32" ht="15" customHeight="1" x14ac:dyDescent="0.25">
      <c r="B246" s="78" t="str">
        <f>'Eid List Entry'!B158</f>
        <v xml:space="preserve"> </v>
      </c>
      <c r="C246" s="215">
        <f>'Eid List Entry'!C158</f>
        <v>0</v>
      </c>
      <c r="D246" s="216"/>
      <c r="E246" s="216"/>
      <c r="F246" s="216"/>
      <c r="G246" s="216"/>
      <c r="H246" s="216"/>
      <c r="I246" s="216"/>
      <c r="J246" s="216"/>
      <c r="K246" s="216"/>
      <c r="L246" s="216"/>
      <c r="M246" s="216"/>
      <c r="N246" s="216"/>
      <c r="O246" s="216"/>
      <c r="P246" s="216"/>
      <c r="Q246" s="216"/>
      <c r="R246" s="216"/>
      <c r="S246" s="216"/>
      <c r="T246" s="216"/>
      <c r="U246" s="216"/>
      <c r="V246" s="216"/>
      <c r="W246" s="216"/>
      <c r="X246" s="216"/>
      <c r="Y246" s="21">
        <f>'Eid List Entry'!E158</f>
        <v>0</v>
      </c>
      <c r="Z246" s="104">
        <f>'Eid List Entry'!D158</f>
        <v>0</v>
      </c>
      <c r="AA246" s="128"/>
      <c r="AB246" s="76"/>
      <c r="AC246" s="217"/>
      <c r="AD246" s="218"/>
      <c r="AE246" s="219"/>
      <c r="AF246" s="218"/>
    </row>
    <row r="247" spans="2:32" ht="15" customHeight="1" x14ac:dyDescent="0.25">
      <c r="B247" s="78" t="str">
        <f>'Eid List Entry'!B159</f>
        <v xml:space="preserve"> </v>
      </c>
      <c r="C247" s="215">
        <f>'Eid List Entry'!C159</f>
        <v>0</v>
      </c>
      <c r="D247" s="216"/>
      <c r="E247" s="216"/>
      <c r="F247" s="216"/>
      <c r="G247" s="216"/>
      <c r="H247" s="216"/>
      <c r="I247" s="216"/>
      <c r="J247" s="216"/>
      <c r="K247" s="216"/>
      <c r="L247" s="216"/>
      <c r="M247" s="216"/>
      <c r="N247" s="216"/>
      <c r="O247" s="216"/>
      <c r="P247" s="216"/>
      <c r="Q247" s="216"/>
      <c r="R247" s="216"/>
      <c r="S247" s="216"/>
      <c r="T247" s="216"/>
      <c r="U247" s="216"/>
      <c r="V247" s="216"/>
      <c r="W247" s="216"/>
      <c r="X247" s="216"/>
      <c r="Y247" s="21">
        <f>'Eid List Entry'!E159</f>
        <v>0</v>
      </c>
      <c r="Z247" s="104">
        <f>'Eid List Entry'!D159</f>
        <v>0</v>
      </c>
      <c r="AA247" s="128"/>
      <c r="AB247" s="76"/>
      <c r="AC247" s="217"/>
      <c r="AD247" s="218"/>
      <c r="AE247" s="219"/>
      <c r="AF247" s="218"/>
    </row>
    <row r="248" spans="2:32" ht="15" customHeight="1" x14ac:dyDescent="0.25">
      <c r="B248" s="78" t="str">
        <f>'Eid List Entry'!B160</f>
        <v xml:space="preserve"> </v>
      </c>
      <c r="C248" s="215">
        <f>'Eid List Entry'!C160</f>
        <v>0</v>
      </c>
      <c r="D248" s="216"/>
      <c r="E248" s="216"/>
      <c r="F248" s="216"/>
      <c r="G248" s="216"/>
      <c r="H248" s="216"/>
      <c r="I248" s="216"/>
      <c r="J248" s="216"/>
      <c r="K248" s="216"/>
      <c r="L248" s="216"/>
      <c r="M248" s="216"/>
      <c r="N248" s="216"/>
      <c r="O248" s="216"/>
      <c r="P248" s="216"/>
      <c r="Q248" s="216"/>
      <c r="R248" s="216"/>
      <c r="S248" s="216"/>
      <c r="T248" s="216"/>
      <c r="U248" s="216"/>
      <c r="V248" s="216"/>
      <c r="W248" s="216"/>
      <c r="X248" s="216"/>
      <c r="Y248" s="21">
        <f>'Eid List Entry'!E160</f>
        <v>0</v>
      </c>
      <c r="Z248" s="104">
        <f>'Eid List Entry'!D160</f>
        <v>0</v>
      </c>
      <c r="AA248" s="128"/>
      <c r="AB248" s="76"/>
      <c r="AC248" s="217"/>
      <c r="AD248" s="218"/>
      <c r="AE248" s="219"/>
      <c r="AF248" s="218"/>
    </row>
    <row r="249" spans="2:32" ht="15" customHeight="1" x14ac:dyDescent="0.25">
      <c r="B249" s="78" t="str">
        <f>'Eid List Entry'!B161</f>
        <v xml:space="preserve"> </v>
      </c>
      <c r="C249" s="215">
        <f>'Eid List Entry'!C161</f>
        <v>0</v>
      </c>
      <c r="D249" s="216"/>
      <c r="E249" s="216"/>
      <c r="F249" s="216"/>
      <c r="G249" s="216"/>
      <c r="H249" s="216"/>
      <c r="I249" s="216"/>
      <c r="J249" s="216"/>
      <c r="K249" s="216"/>
      <c r="L249" s="216"/>
      <c r="M249" s="216"/>
      <c r="N249" s="216"/>
      <c r="O249" s="216"/>
      <c r="P249" s="216"/>
      <c r="Q249" s="216"/>
      <c r="R249" s="216"/>
      <c r="S249" s="216"/>
      <c r="T249" s="216"/>
      <c r="U249" s="216"/>
      <c r="V249" s="216"/>
      <c r="W249" s="216"/>
      <c r="X249" s="216"/>
      <c r="Y249" s="21">
        <f>'Eid List Entry'!E161</f>
        <v>0</v>
      </c>
      <c r="Z249" s="104">
        <f>'Eid List Entry'!D161</f>
        <v>0</v>
      </c>
      <c r="AA249" s="128"/>
      <c r="AB249" s="76"/>
      <c r="AC249" s="217"/>
      <c r="AD249" s="218"/>
      <c r="AE249" s="219"/>
      <c r="AF249" s="218"/>
    </row>
    <row r="250" spans="2:32" ht="15" customHeight="1" x14ac:dyDescent="0.25">
      <c r="B250" s="78" t="str">
        <f>'Eid List Entry'!B162</f>
        <v xml:space="preserve"> </v>
      </c>
      <c r="C250" s="215">
        <f>'Eid List Entry'!C162</f>
        <v>0</v>
      </c>
      <c r="D250" s="216"/>
      <c r="E250" s="216"/>
      <c r="F250" s="216"/>
      <c r="G250" s="216"/>
      <c r="H250" s="216"/>
      <c r="I250" s="216"/>
      <c r="J250" s="216"/>
      <c r="K250" s="216"/>
      <c r="L250" s="216"/>
      <c r="M250" s="216"/>
      <c r="N250" s="216"/>
      <c r="O250" s="216"/>
      <c r="P250" s="216"/>
      <c r="Q250" s="216"/>
      <c r="R250" s="216"/>
      <c r="S250" s="216"/>
      <c r="T250" s="216"/>
      <c r="U250" s="216"/>
      <c r="V250" s="216"/>
      <c r="W250" s="216"/>
      <c r="X250" s="216"/>
      <c r="Y250" s="21">
        <f>'Eid List Entry'!E162</f>
        <v>0</v>
      </c>
      <c r="Z250" s="104">
        <f>'Eid List Entry'!D162</f>
        <v>0</v>
      </c>
      <c r="AA250" s="128"/>
      <c r="AB250" s="76"/>
      <c r="AC250" s="217"/>
      <c r="AD250" s="218"/>
      <c r="AE250" s="219"/>
      <c r="AF250" s="218"/>
    </row>
    <row r="251" spans="2:32" ht="15" customHeight="1" x14ac:dyDescent="0.25">
      <c r="B251" s="78" t="str">
        <f>'Eid List Entry'!B163</f>
        <v xml:space="preserve"> </v>
      </c>
      <c r="C251" s="215">
        <f>'Eid List Entry'!C163</f>
        <v>0</v>
      </c>
      <c r="D251" s="216"/>
      <c r="E251" s="216"/>
      <c r="F251" s="216"/>
      <c r="G251" s="216"/>
      <c r="H251" s="216"/>
      <c r="I251" s="216"/>
      <c r="J251" s="216"/>
      <c r="K251" s="216"/>
      <c r="L251" s="216"/>
      <c r="M251" s="216"/>
      <c r="N251" s="216"/>
      <c r="O251" s="216"/>
      <c r="P251" s="216"/>
      <c r="Q251" s="216"/>
      <c r="R251" s="216"/>
      <c r="S251" s="216"/>
      <c r="T251" s="216"/>
      <c r="U251" s="216"/>
      <c r="V251" s="216"/>
      <c r="W251" s="216"/>
      <c r="X251" s="216"/>
      <c r="Y251" s="21">
        <f>'Eid List Entry'!E163</f>
        <v>0</v>
      </c>
      <c r="Z251" s="104">
        <f>'Eid List Entry'!D163</f>
        <v>0</v>
      </c>
      <c r="AA251" s="128"/>
      <c r="AB251" s="76"/>
      <c r="AC251" s="217"/>
      <c r="AD251" s="218"/>
      <c r="AE251" s="219"/>
      <c r="AF251" s="218"/>
    </row>
    <row r="252" spans="2:32" ht="15" customHeight="1" x14ac:dyDescent="0.25">
      <c r="B252" s="78" t="str">
        <f>'Eid List Entry'!B164</f>
        <v xml:space="preserve"> </v>
      </c>
      <c r="C252" s="215">
        <f>'Eid List Entry'!C164</f>
        <v>0</v>
      </c>
      <c r="D252" s="216"/>
      <c r="E252" s="216"/>
      <c r="F252" s="216"/>
      <c r="G252" s="216"/>
      <c r="H252" s="216"/>
      <c r="I252" s="216"/>
      <c r="J252" s="216"/>
      <c r="K252" s="216"/>
      <c r="L252" s="216"/>
      <c r="M252" s="216"/>
      <c r="N252" s="216"/>
      <c r="O252" s="216"/>
      <c r="P252" s="216"/>
      <c r="Q252" s="216"/>
      <c r="R252" s="216"/>
      <c r="S252" s="216"/>
      <c r="T252" s="216"/>
      <c r="U252" s="216"/>
      <c r="V252" s="216"/>
      <c r="W252" s="216"/>
      <c r="X252" s="216"/>
      <c r="Y252" s="21">
        <f>'Eid List Entry'!E164</f>
        <v>0</v>
      </c>
      <c r="Z252" s="104">
        <f>'Eid List Entry'!D164</f>
        <v>0</v>
      </c>
      <c r="AA252" s="128"/>
      <c r="AB252" s="76"/>
      <c r="AC252" s="217"/>
      <c r="AD252" s="218"/>
      <c r="AE252" s="219"/>
      <c r="AF252" s="218"/>
    </row>
    <row r="253" spans="2:32" ht="15" customHeight="1" x14ac:dyDescent="0.25">
      <c r="B253" s="78" t="str">
        <f>'Eid List Entry'!B165</f>
        <v xml:space="preserve"> </v>
      </c>
      <c r="C253" s="215">
        <f>'Eid List Entry'!C165</f>
        <v>0</v>
      </c>
      <c r="D253" s="216"/>
      <c r="E253" s="216"/>
      <c r="F253" s="216"/>
      <c r="G253" s="216"/>
      <c r="H253" s="216"/>
      <c r="I253" s="216"/>
      <c r="J253" s="216"/>
      <c r="K253" s="216"/>
      <c r="L253" s="216"/>
      <c r="M253" s="216"/>
      <c r="N253" s="216"/>
      <c r="O253" s="216"/>
      <c r="P253" s="216"/>
      <c r="Q253" s="216"/>
      <c r="R253" s="216"/>
      <c r="S253" s="216"/>
      <c r="T253" s="216"/>
      <c r="U253" s="216"/>
      <c r="V253" s="216"/>
      <c r="W253" s="216"/>
      <c r="X253" s="216"/>
      <c r="Y253" s="21">
        <f>'Eid List Entry'!E165</f>
        <v>0</v>
      </c>
      <c r="Z253" s="104">
        <f>'Eid List Entry'!D165</f>
        <v>0</v>
      </c>
      <c r="AA253" s="81"/>
      <c r="AB253" s="82"/>
      <c r="AC253" s="220"/>
      <c r="AD253" s="221"/>
      <c r="AE253" s="222"/>
      <c r="AF253" s="223"/>
    </row>
    <row r="254" spans="2:32" ht="15" customHeight="1" x14ac:dyDescent="0.25">
      <c r="B254" s="78" t="str">
        <f>'Eid List Entry'!B166</f>
        <v xml:space="preserve"> </v>
      </c>
      <c r="C254" s="215">
        <f>'Eid List Entry'!C166</f>
        <v>0</v>
      </c>
      <c r="D254" s="216"/>
      <c r="E254" s="216"/>
      <c r="F254" s="216"/>
      <c r="G254" s="216"/>
      <c r="H254" s="216"/>
      <c r="I254" s="216"/>
      <c r="J254" s="216"/>
      <c r="K254" s="216"/>
      <c r="L254" s="216"/>
      <c r="M254" s="216"/>
      <c r="N254" s="216"/>
      <c r="O254" s="216"/>
      <c r="P254" s="216"/>
      <c r="Q254" s="216"/>
      <c r="R254" s="216"/>
      <c r="S254" s="216"/>
      <c r="T254" s="216"/>
      <c r="U254" s="216"/>
      <c r="V254" s="216"/>
      <c r="W254" s="216"/>
      <c r="X254" s="216"/>
      <c r="Y254" s="21">
        <f>'Eid List Entry'!E166</f>
        <v>0</v>
      </c>
      <c r="Z254" s="104">
        <f>'Eid List Entry'!D166</f>
        <v>0</v>
      </c>
      <c r="AA254" s="128"/>
      <c r="AB254" s="82"/>
      <c r="AC254" s="217"/>
      <c r="AD254" s="218"/>
      <c r="AE254" s="219"/>
      <c r="AF254" s="218"/>
    </row>
    <row r="255" spans="2:32" ht="15" customHeight="1" x14ac:dyDescent="0.25">
      <c r="B255" s="78" t="str">
        <f>'Eid List Entry'!B167</f>
        <v xml:space="preserve"> </v>
      </c>
      <c r="C255" s="215">
        <f>'Eid List Entry'!C167</f>
        <v>0</v>
      </c>
      <c r="D255" s="216"/>
      <c r="E255" s="216"/>
      <c r="F255" s="216"/>
      <c r="G255" s="216"/>
      <c r="H255" s="216"/>
      <c r="I255" s="216"/>
      <c r="J255" s="216"/>
      <c r="K255" s="216"/>
      <c r="L255" s="216"/>
      <c r="M255" s="216"/>
      <c r="N255" s="216"/>
      <c r="O255" s="216"/>
      <c r="P255" s="216"/>
      <c r="Q255" s="216"/>
      <c r="R255" s="216"/>
      <c r="S255" s="216"/>
      <c r="T255" s="216"/>
      <c r="U255" s="216"/>
      <c r="V255" s="216"/>
      <c r="W255" s="216"/>
      <c r="X255" s="216"/>
      <c r="Y255" s="21">
        <f>'Eid List Entry'!E167</f>
        <v>0</v>
      </c>
      <c r="Z255" s="104">
        <f>'Eid List Entry'!D167</f>
        <v>0</v>
      </c>
      <c r="AA255" s="128"/>
      <c r="AB255" s="76"/>
      <c r="AC255" s="217"/>
      <c r="AD255" s="218"/>
      <c r="AE255" s="219"/>
      <c r="AF255" s="218"/>
    </row>
    <row r="256" spans="2:32" ht="15" customHeight="1" x14ac:dyDescent="0.25">
      <c r="B256" s="78" t="str">
        <f>'Eid List Entry'!B168</f>
        <v xml:space="preserve"> </v>
      </c>
      <c r="C256" s="215">
        <f>'Eid List Entry'!C168</f>
        <v>0</v>
      </c>
      <c r="D256" s="216"/>
      <c r="E256" s="216"/>
      <c r="F256" s="216"/>
      <c r="G256" s="216"/>
      <c r="H256" s="216"/>
      <c r="I256" s="216"/>
      <c r="J256" s="216"/>
      <c r="K256" s="216"/>
      <c r="L256" s="216"/>
      <c r="M256" s="216"/>
      <c r="N256" s="216"/>
      <c r="O256" s="216"/>
      <c r="P256" s="216"/>
      <c r="Q256" s="216"/>
      <c r="R256" s="216"/>
      <c r="S256" s="216"/>
      <c r="T256" s="216"/>
      <c r="U256" s="216"/>
      <c r="V256" s="216"/>
      <c r="W256" s="216"/>
      <c r="X256" s="216"/>
      <c r="Y256" s="21">
        <f>'Eid List Entry'!E168</f>
        <v>0</v>
      </c>
      <c r="Z256" s="104">
        <f>'Eid List Entry'!D168</f>
        <v>0</v>
      </c>
      <c r="AA256" s="128"/>
      <c r="AB256" s="76"/>
      <c r="AC256" s="217"/>
      <c r="AD256" s="218"/>
      <c r="AE256" s="219"/>
      <c r="AF256" s="218"/>
    </row>
    <row r="257" spans="2:32" ht="15" customHeight="1" x14ac:dyDescent="0.25">
      <c r="B257" s="78" t="str">
        <f>'Eid List Entry'!B169</f>
        <v xml:space="preserve"> </v>
      </c>
      <c r="C257" s="215">
        <f>'Eid List Entry'!C169</f>
        <v>0</v>
      </c>
      <c r="D257" s="216"/>
      <c r="E257" s="216"/>
      <c r="F257" s="216"/>
      <c r="G257" s="216"/>
      <c r="H257" s="216"/>
      <c r="I257" s="216"/>
      <c r="J257" s="216"/>
      <c r="K257" s="216"/>
      <c r="L257" s="216"/>
      <c r="M257" s="216"/>
      <c r="N257" s="216"/>
      <c r="O257" s="216"/>
      <c r="P257" s="216"/>
      <c r="Q257" s="216"/>
      <c r="R257" s="216"/>
      <c r="S257" s="216"/>
      <c r="T257" s="216"/>
      <c r="U257" s="216"/>
      <c r="V257" s="216"/>
      <c r="W257" s="216"/>
      <c r="X257" s="216"/>
      <c r="Y257" s="21">
        <f>'Eid List Entry'!E169</f>
        <v>0</v>
      </c>
      <c r="Z257" s="104">
        <f>'Eid List Entry'!D169</f>
        <v>0</v>
      </c>
      <c r="AA257" s="128"/>
      <c r="AB257" s="76"/>
      <c r="AC257" s="217"/>
      <c r="AD257" s="218"/>
      <c r="AE257" s="219"/>
      <c r="AF257" s="218"/>
    </row>
    <row r="258" spans="2:32" ht="15" customHeight="1" x14ac:dyDescent="0.25">
      <c r="B258" s="78" t="str">
        <f>'Eid List Entry'!B170</f>
        <v xml:space="preserve"> </v>
      </c>
      <c r="C258" s="215">
        <f>'Eid List Entry'!C170</f>
        <v>0</v>
      </c>
      <c r="D258" s="216"/>
      <c r="E258" s="216"/>
      <c r="F258" s="216"/>
      <c r="G258" s="216"/>
      <c r="H258" s="216"/>
      <c r="I258" s="216"/>
      <c r="J258" s="216"/>
      <c r="K258" s="216"/>
      <c r="L258" s="216"/>
      <c r="M258" s="216"/>
      <c r="N258" s="216"/>
      <c r="O258" s="216"/>
      <c r="P258" s="216"/>
      <c r="Q258" s="216"/>
      <c r="R258" s="216"/>
      <c r="S258" s="216"/>
      <c r="T258" s="216"/>
      <c r="U258" s="216"/>
      <c r="V258" s="216"/>
      <c r="W258" s="216"/>
      <c r="X258" s="216"/>
      <c r="Y258" s="21">
        <f>'Eid List Entry'!E170</f>
        <v>0</v>
      </c>
      <c r="Z258" s="104">
        <f>'Eid List Entry'!D170</f>
        <v>0</v>
      </c>
      <c r="AA258" s="128"/>
      <c r="AB258" s="76"/>
      <c r="AC258" s="217"/>
      <c r="AD258" s="218"/>
      <c r="AE258" s="219"/>
      <c r="AF258" s="218"/>
    </row>
    <row r="259" spans="2:32" ht="15" customHeight="1" x14ac:dyDescent="0.25">
      <c r="B259" s="78" t="str">
        <f>'Eid List Entry'!B171</f>
        <v xml:space="preserve"> </v>
      </c>
      <c r="C259" s="215">
        <f>'Eid List Entry'!C171</f>
        <v>0</v>
      </c>
      <c r="D259" s="216"/>
      <c r="E259" s="216"/>
      <c r="F259" s="216"/>
      <c r="G259" s="216"/>
      <c r="H259" s="216"/>
      <c r="I259" s="216"/>
      <c r="J259" s="216"/>
      <c r="K259" s="216"/>
      <c r="L259" s="216"/>
      <c r="M259" s="216"/>
      <c r="N259" s="216"/>
      <c r="O259" s="216"/>
      <c r="P259" s="216"/>
      <c r="Q259" s="216"/>
      <c r="R259" s="216"/>
      <c r="S259" s="216"/>
      <c r="T259" s="216"/>
      <c r="U259" s="216"/>
      <c r="V259" s="216"/>
      <c r="W259" s="216"/>
      <c r="X259" s="216"/>
      <c r="Y259" s="21">
        <f>'Eid List Entry'!E171</f>
        <v>0</v>
      </c>
      <c r="Z259" s="104">
        <f>'Eid List Entry'!D171</f>
        <v>0</v>
      </c>
      <c r="AA259" s="128"/>
      <c r="AB259" s="76"/>
      <c r="AC259" s="217"/>
      <c r="AD259" s="218"/>
      <c r="AE259" s="219"/>
      <c r="AF259" s="218"/>
    </row>
    <row r="260" spans="2:32" ht="15" customHeight="1" x14ac:dyDescent="0.25">
      <c r="B260" s="78" t="str">
        <f>'Eid List Entry'!B172</f>
        <v xml:space="preserve"> </v>
      </c>
      <c r="C260" s="215">
        <f>'Eid List Entry'!C172</f>
        <v>0</v>
      </c>
      <c r="D260" s="216"/>
      <c r="E260" s="216"/>
      <c r="F260" s="216"/>
      <c r="G260" s="216"/>
      <c r="H260" s="216"/>
      <c r="I260" s="216"/>
      <c r="J260" s="216"/>
      <c r="K260" s="216"/>
      <c r="L260" s="216"/>
      <c r="M260" s="216"/>
      <c r="N260" s="216"/>
      <c r="O260" s="216"/>
      <c r="P260" s="216"/>
      <c r="Q260" s="216"/>
      <c r="R260" s="216"/>
      <c r="S260" s="216"/>
      <c r="T260" s="216"/>
      <c r="U260" s="216"/>
      <c r="V260" s="216"/>
      <c r="W260" s="216"/>
      <c r="X260" s="216"/>
      <c r="Y260" s="21">
        <f>'Eid List Entry'!E172</f>
        <v>0</v>
      </c>
      <c r="Z260" s="104">
        <f>'Eid List Entry'!D172</f>
        <v>0</v>
      </c>
      <c r="AA260" s="128"/>
      <c r="AB260" s="76"/>
      <c r="AC260" s="217"/>
      <c r="AD260" s="218"/>
      <c r="AE260" s="219"/>
      <c r="AF260" s="218"/>
    </row>
    <row r="261" spans="2:32" ht="15" customHeight="1" x14ac:dyDescent="0.25">
      <c r="B261" s="78" t="str">
        <f>'Eid List Entry'!B173</f>
        <v xml:space="preserve"> </v>
      </c>
      <c r="C261" s="215">
        <f>'Eid List Entry'!C173</f>
        <v>0</v>
      </c>
      <c r="D261" s="216"/>
      <c r="E261" s="216"/>
      <c r="F261" s="216"/>
      <c r="G261" s="216"/>
      <c r="H261" s="216"/>
      <c r="I261" s="216"/>
      <c r="J261" s="216"/>
      <c r="K261" s="216"/>
      <c r="L261" s="216"/>
      <c r="M261" s="216"/>
      <c r="N261" s="216"/>
      <c r="O261" s="216"/>
      <c r="P261" s="216"/>
      <c r="Q261" s="216"/>
      <c r="R261" s="216"/>
      <c r="S261" s="216"/>
      <c r="T261" s="216"/>
      <c r="U261" s="216"/>
      <c r="V261" s="216"/>
      <c r="W261" s="216"/>
      <c r="X261" s="216"/>
      <c r="Y261" s="21">
        <f>'Eid List Entry'!E173</f>
        <v>0</v>
      </c>
      <c r="Z261" s="104">
        <f>'Eid List Entry'!D173</f>
        <v>0</v>
      </c>
      <c r="AA261" s="128"/>
      <c r="AB261" s="76"/>
      <c r="AC261" s="217"/>
      <c r="AD261" s="218"/>
      <c r="AE261" s="219"/>
      <c r="AF261" s="218"/>
    </row>
    <row r="262" spans="2:32" s="7" customFormat="1" ht="1.5" customHeight="1" x14ac:dyDescent="0.25">
      <c r="B262" s="23"/>
      <c r="C262" s="101"/>
      <c r="D262" s="101"/>
      <c r="E262" s="101"/>
      <c r="F262" s="101"/>
      <c r="G262" s="101"/>
      <c r="H262" s="101"/>
      <c r="I262" s="101"/>
      <c r="J262" s="101"/>
      <c r="K262" s="101"/>
      <c r="L262" s="101"/>
      <c r="M262" s="101"/>
      <c r="N262" s="101"/>
      <c r="O262" s="101"/>
      <c r="P262" s="101"/>
      <c r="Q262" s="101"/>
      <c r="R262" s="101"/>
      <c r="S262" s="101"/>
      <c r="T262" s="101"/>
      <c r="U262" s="101"/>
      <c r="V262" s="101"/>
      <c r="W262" s="101"/>
      <c r="X262" s="101"/>
      <c r="Y262" s="24"/>
      <c r="Z262" s="25"/>
      <c r="AA262" s="10"/>
      <c r="AB262" s="10"/>
      <c r="AC262" s="10"/>
      <c r="AD262" s="10"/>
      <c r="AE262" s="10"/>
      <c r="AF262" s="10"/>
    </row>
    <row r="263" spans="2:32" ht="73.5" customHeight="1" x14ac:dyDescent="0.25">
      <c r="B263" s="12"/>
      <c r="C263" s="12"/>
      <c r="D263" s="12"/>
      <c r="E263" s="12"/>
      <c r="F263" s="12"/>
      <c r="G263" s="12"/>
      <c r="H263" s="12"/>
      <c r="I263" s="12"/>
      <c r="J263" s="12"/>
      <c r="K263" s="12"/>
      <c r="L263" s="12"/>
      <c r="M263" s="12"/>
      <c r="N263" s="12"/>
      <c r="O263" s="12"/>
      <c r="P263" s="12"/>
    </row>
    <row r="264" spans="2:32" ht="18" customHeight="1" x14ac:dyDescent="0.25">
      <c r="B264" s="160" t="s">
        <v>0</v>
      </c>
      <c r="C264" s="249" t="s">
        <v>9</v>
      </c>
      <c r="D264" s="250"/>
      <c r="E264" s="251">
        <f>E235</f>
        <v>1594</v>
      </c>
      <c r="F264" s="252"/>
      <c r="G264" s="252"/>
      <c r="H264" s="252"/>
      <c r="I264" s="252"/>
      <c r="J264" s="252"/>
      <c r="K264" s="252"/>
      <c r="L264" s="252"/>
      <c r="M264" s="252"/>
      <c r="N264" s="252"/>
      <c r="O264" s="252"/>
      <c r="P264" s="252"/>
      <c r="Q264" s="252"/>
      <c r="R264" s="252"/>
      <c r="S264" s="252"/>
      <c r="T264" s="252"/>
      <c r="U264" s="252"/>
      <c r="V264" s="252"/>
      <c r="W264" s="252"/>
      <c r="X264" s="252"/>
      <c r="Y264" s="252"/>
      <c r="Z264" s="253" t="s">
        <v>10</v>
      </c>
      <c r="AA264" s="254"/>
      <c r="AB264" s="259" t="s">
        <v>11</v>
      </c>
      <c r="AC264" s="260"/>
      <c r="AD264" s="261"/>
      <c r="AE264" s="268" t="s">
        <v>12</v>
      </c>
      <c r="AF264" s="269"/>
    </row>
    <row r="265" spans="2:32" ht="18" customHeight="1" x14ac:dyDescent="0.25">
      <c r="B265" s="161">
        <f ca="1">B236</f>
        <v>44621</v>
      </c>
      <c r="C265" s="274" t="s">
        <v>13</v>
      </c>
      <c r="D265" s="274"/>
      <c r="E265" s="274"/>
      <c r="F265" s="274"/>
      <c r="G265" s="274"/>
      <c r="H265" s="274"/>
      <c r="I265" s="274"/>
      <c r="J265" s="274"/>
      <c r="K265" s="274"/>
      <c r="L265" s="275">
        <f>L236</f>
        <v>0</v>
      </c>
      <c r="M265" s="275"/>
      <c r="N265" s="275"/>
      <c r="O265" s="275"/>
      <c r="P265" s="275"/>
      <c r="Q265" s="275"/>
      <c r="R265" s="275"/>
      <c r="S265" s="275"/>
      <c r="T265" s="275"/>
      <c r="U265" s="275"/>
      <c r="V265" s="275"/>
      <c r="W265" s="275"/>
      <c r="X265" s="275"/>
      <c r="Y265" s="275"/>
      <c r="Z265" s="255"/>
      <c r="AA265" s="256"/>
      <c r="AB265" s="262"/>
      <c r="AC265" s="263"/>
      <c r="AD265" s="264"/>
      <c r="AE265" s="270"/>
      <c r="AF265" s="271"/>
    </row>
    <row r="266" spans="2:32" ht="18" customHeight="1" x14ac:dyDescent="0.25">
      <c r="B266" s="159" t="s">
        <v>14</v>
      </c>
      <c r="C266" s="276" t="s">
        <v>15</v>
      </c>
      <c r="D266" s="277"/>
      <c r="E266" s="277"/>
      <c r="F266" s="278"/>
      <c r="G266" s="278">
        <f>G237</f>
        <v>0</v>
      </c>
      <c r="H266" s="278"/>
      <c r="I266" s="278"/>
      <c r="J266" s="278"/>
      <c r="K266" s="278"/>
      <c r="L266" s="278"/>
      <c r="M266" s="278"/>
      <c r="N266" s="278"/>
      <c r="O266" s="278"/>
      <c r="P266" s="278"/>
      <c r="Q266" s="278"/>
      <c r="R266" s="278"/>
      <c r="S266" s="278"/>
      <c r="T266" s="278"/>
      <c r="U266" s="278"/>
      <c r="V266" s="278"/>
      <c r="W266" s="278"/>
      <c r="X266" s="278"/>
      <c r="Y266" s="279"/>
      <c r="Z266" s="257"/>
      <c r="AA266" s="258"/>
      <c r="AB266" s="265"/>
      <c r="AC266" s="266"/>
      <c r="AD266" s="267"/>
      <c r="AE266" s="272"/>
      <c r="AF266" s="273"/>
    </row>
    <row r="267" spans="2:32" ht="18.75" customHeight="1" x14ac:dyDescent="0.25">
      <c r="B267" s="321" t="str">
        <f>_xlfn.CONCAT("10"," ","of"," ",IF(ISBLANK('Eid List Entry'!C14),1,
IF(ISBLANK('Eid List Entry'!C34),2,
IF(ISBLANK('Eid List Entry'!C54),3,
IF(ISBLANK('Eid List Entry'!C74),4,
IF(ISBLANK('Eid List Entry'!C94),5,
IF(ISBLANK('Eid List Entry'!C114),6,
IF(ISBLANK('Eid List Entry'!C134),7,
IF(ISBLANK('Eid List Entry'!C154),8,
IF(ISBLANK('Eid List Entry'!C174),9,
IF(ISBLANK('Eid List Entry'!C194),10,
IF(ISBLANK('Eid List Entry'!C214),11,
IF(ISBLANK('Eid List Entry'!C234),12,
IF(ISBLANK('Eid List Entry'!C254),13))))))))))))))</f>
        <v>10 of 1</v>
      </c>
      <c r="C267" s="226"/>
      <c r="D267" s="227"/>
      <c r="E267" s="227"/>
      <c r="F267" s="227"/>
      <c r="G267" s="227"/>
      <c r="H267" s="227"/>
      <c r="I267" s="227"/>
      <c r="J267" s="227"/>
      <c r="K267" s="227"/>
      <c r="L267" s="227"/>
      <c r="M267" s="227"/>
      <c r="N267" s="227"/>
      <c r="O267" s="227"/>
      <c r="P267" s="227"/>
      <c r="Q267" s="227"/>
      <c r="R267" s="227"/>
      <c r="S267" s="227"/>
      <c r="T267" s="227"/>
      <c r="U267" s="227"/>
      <c r="V267" s="227"/>
      <c r="W267" s="227"/>
      <c r="X267" s="227"/>
      <c r="Y267" s="228"/>
      <c r="Z267" s="232" t="s">
        <v>7</v>
      </c>
      <c r="AA267" s="234" t="s">
        <v>1</v>
      </c>
      <c r="AB267" s="236" t="s">
        <v>21</v>
      </c>
      <c r="AC267" s="237"/>
      <c r="AD267" s="232"/>
      <c r="AE267" s="236" t="s">
        <v>39</v>
      </c>
      <c r="AF267" s="232"/>
    </row>
    <row r="268" spans="2:32" ht="17.25" customHeight="1" x14ac:dyDescent="0.25">
      <c r="B268" s="321"/>
      <c r="C268" s="229"/>
      <c r="D268" s="230"/>
      <c r="E268" s="230"/>
      <c r="F268" s="230"/>
      <c r="G268" s="230"/>
      <c r="H268" s="230"/>
      <c r="I268" s="230"/>
      <c r="J268" s="230"/>
      <c r="K268" s="230"/>
      <c r="L268" s="230"/>
      <c r="M268" s="230"/>
      <c r="N268" s="230"/>
      <c r="O268" s="230"/>
      <c r="P268" s="230"/>
      <c r="Q268" s="230"/>
      <c r="R268" s="230"/>
      <c r="S268" s="230"/>
      <c r="T268" s="230"/>
      <c r="U268" s="230"/>
      <c r="V268" s="230"/>
      <c r="W268" s="230"/>
      <c r="X268" s="230"/>
      <c r="Y268" s="231"/>
      <c r="Z268" s="233"/>
      <c r="AA268" s="234"/>
      <c r="AB268" s="238"/>
      <c r="AC268" s="239"/>
      <c r="AD268" s="233"/>
      <c r="AE268" s="238"/>
      <c r="AF268" s="233"/>
    </row>
    <row r="269" spans="2:32" ht="17.25" customHeight="1" x14ac:dyDescent="0.25">
      <c r="B269" s="322"/>
      <c r="C269" s="243" t="s">
        <v>3</v>
      </c>
      <c r="D269" s="222"/>
      <c r="E269" s="222"/>
      <c r="F269" s="222"/>
      <c r="G269" s="243">
        <f>G240</f>
        <v>0</v>
      </c>
      <c r="H269" s="222"/>
      <c r="I269" s="222"/>
      <c r="J269" s="222"/>
      <c r="K269" s="222"/>
      <c r="L269" s="121"/>
      <c r="M269" s="121"/>
      <c r="N269" s="121"/>
      <c r="O269" s="121"/>
      <c r="P269" s="121"/>
      <c r="Q269" s="121"/>
      <c r="R269" s="121"/>
      <c r="S269" s="121"/>
      <c r="T269" s="121"/>
      <c r="U269" s="121"/>
      <c r="V269" s="121"/>
      <c r="W269" s="121"/>
      <c r="X269" s="121"/>
      <c r="Y269" s="121"/>
      <c r="Z269" s="234"/>
      <c r="AA269" s="235"/>
      <c r="AB269" s="240"/>
      <c r="AC269" s="241"/>
      <c r="AD269" s="242"/>
      <c r="AE269" s="238"/>
      <c r="AF269" s="233"/>
    </row>
    <row r="270" spans="2:32" ht="35.25" customHeight="1" x14ac:dyDescent="0.25">
      <c r="B270" s="68" t="s">
        <v>2</v>
      </c>
      <c r="C270" s="244" t="str">
        <f>C240</f>
        <v xml:space="preserve">Lock Box # </v>
      </c>
      <c r="D270" s="244"/>
      <c r="E270" s="244"/>
      <c r="F270" s="244"/>
      <c r="G270" s="244"/>
      <c r="H270" s="244"/>
      <c r="I270" s="244"/>
      <c r="J270" s="244"/>
      <c r="K270" s="244"/>
      <c r="L270" s="244"/>
      <c r="M270" s="244"/>
      <c r="N270" s="244"/>
      <c r="O270" s="244"/>
      <c r="P270" s="244"/>
      <c r="Q270" s="244"/>
      <c r="R270" s="244"/>
      <c r="S270" s="244"/>
      <c r="T270" s="244"/>
      <c r="U270" s="244"/>
      <c r="V270" s="244"/>
      <c r="W270" s="244"/>
      <c r="X270" s="244"/>
      <c r="Y270" s="80" t="s">
        <v>28</v>
      </c>
      <c r="Z270" s="235"/>
      <c r="AA270" s="79" t="s">
        <v>73</v>
      </c>
      <c r="AB270" s="79" t="s">
        <v>73</v>
      </c>
      <c r="AC270" s="245" t="s">
        <v>73</v>
      </c>
      <c r="AD270" s="246"/>
      <c r="AE270" s="240"/>
      <c r="AF270" s="242"/>
    </row>
    <row r="271" spans="2:32" ht="15" customHeight="1" x14ac:dyDescent="0.25">
      <c r="B271" s="78" t="str">
        <f>'Eid List Entry'!B174</f>
        <v xml:space="preserve"> </v>
      </c>
      <c r="C271" s="215">
        <f>'Eid List Entry'!C174</f>
        <v>0</v>
      </c>
      <c r="D271" s="216"/>
      <c r="E271" s="216"/>
      <c r="F271" s="216"/>
      <c r="G271" s="216"/>
      <c r="H271" s="216"/>
      <c r="I271" s="216"/>
      <c r="J271" s="216"/>
      <c r="K271" s="216"/>
      <c r="L271" s="216"/>
      <c r="M271" s="216"/>
      <c r="N271" s="216"/>
      <c r="O271" s="216"/>
      <c r="P271" s="216"/>
      <c r="Q271" s="216"/>
      <c r="R271" s="216"/>
      <c r="S271" s="216"/>
      <c r="T271" s="216"/>
      <c r="U271" s="216"/>
      <c r="V271" s="216"/>
      <c r="W271" s="216"/>
      <c r="X271" s="216"/>
      <c r="Y271" s="21">
        <f>'Eid List Entry'!E174</f>
        <v>0</v>
      </c>
      <c r="Z271" s="104">
        <f>'Eid List Entry'!D174</f>
        <v>0</v>
      </c>
      <c r="AA271" s="128"/>
      <c r="AB271" s="76"/>
      <c r="AC271" s="217"/>
      <c r="AD271" s="218"/>
      <c r="AE271" s="224"/>
      <c r="AF271" s="225"/>
    </row>
    <row r="272" spans="2:32" ht="15" customHeight="1" x14ac:dyDescent="0.25">
      <c r="B272" s="78" t="str">
        <f>'Eid List Entry'!B175</f>
        <v xml:space="preserve"> </v>
      </c>
      <c r="C272" s="215">
        <f>'Eid List Entry'!C175</f>
        <v>0</v>
      </c>
      <c r="D272" s="216"/>
      <c r="E272" s="216"/>
      <c r="F272" s="216"/>
      <c r="G272" s="216"/>
      <c r="H272" s="216"/>
      <c r="I272" s="216"/>
      <c r="J272" s="216"/>
      <c r="K272" s="216"/>
      <c r="L272" s="216"/>
      <c r="M272" s="216"/>
      <c r="N272" s="216"/>
      <c r="O272" s="216"/>
      <c r="P272" s="216"/>
      <c r="Q272" s="216"/>
      <c r="R272" s="216"/>
      <c r="S272" s="216"/>
      <c r="T272" s="216"/>
      <c r="U272" s="216"/>
      <c r="V272" s="216"/>
      <c r="W272" s="216"/>
      <c r="X272" s="216"/>
      <c r="Y272" s="21">
        <f>'Eid List Entry'!E175</f>
        <v>0</v>
      </c>
      <c r="Z272" s="104">
        <f>'Eid List Entry'!D175</f>
        <v>0</v>
      </c>
      <c r="AA272" s="128"/>
      <c r="AB272" s="76"/>
      <c r="AC272" s="217"/>
      <c r="AD272" s="218"/>
      <c r="AE272" s="219"/>
      <c r="AF272" s="218"/>
    </row>
    <row r="273" spans="2:32" ht="15" customHeight="1" x14ac:dyDescent="0.25">
      <c r="B273" s="78" t="str">
        <f>'Eid List Entry'!B176</f>
        <v xml:space="preserve"> </v>
      </c>
      <c r="C273" s="215">
        <f>'Eid List Entry'!C176</f>
        <v>0</v>
      </c>
      <c r="D273" s="216"/>
      <c r="E273" s="216"/>
      <c r="F273" s="216"/>
      <c r="G273" s="216"/>
      <c r="H273" s="216"/>
      <c r="I273" s="216"/>
      <c r="J273" s="216"/>
      <c r="K273" s="216"/>
      <c r="L273" s="216"/>
      <c r="M273" s="216"/>
      <c r="N273" s="216"/>
      <c r="O273" s="216"/>
      <c r="P273" s="216"/>
      <c r="Q273" s="216"/>
      <c r="R273" s="216"/>
      <c r="S273" s="216"/>
      <c r="T273" s="216"/>
      <c r="U273" s="216"/>
      <c r="V273" s="216"/>
      <c r="W273" s="216"/>
      <c r="X273" s="216"/>
      <c r="Y273" s="21">
        <f>'Eid List Entry'!E176</f>
        <v>0</v>
      </c>
      <c r="Z273" s="104">
        <f>'Eid List Entry'!D176</f>
        <v>0</v>
      </c>
      <c r="AA273" s="128"/>
      <c r="AB273" s="76"/>
      <c r="AC273" s="217"/>
      <c r="AD273" s="218"/>
      <c r="AE273" s="219"/>
      <c r="AF273" s="218"/>
    </row>
    <row r="274" spans="2:32" ht="15" customHeight="1" x14ac:dyDescent="0.25">
      <c r="B274" s="78" t="str">
        <f>'Eid List Entry'!B177</f>
        <v xml:space="preserve"> </v>
      </c>
      <c r="C274" s="215">
        <f>'Eid List Entry'!C177</f>
        <v>0</v>
      </c>
      <c r="D274" s="216"/>
      <c r="E274" s="216"/>
      <c r="F274" s="216"/>
      <c r="G274" s="216"/>
      <c r="H274" s="216"/>
      <c r="I274" s="216"/>
      <c r="J274" s="216"/>
      <c r="K274" s="216"/>
      <c r="L274" s="216"/>
      <c r="M274" s="216"/>
      <c r="N274" s="216"/>
      <c r="O274" s="216"/>
      <c r="P274" s="216"/>
      <c r="Q274" s="216"/>
      <c r="R274" s="216"/>
      <c r="S274" s="216"/>
      <c r="T274" s="216"/>
      <c r="U274" s="216"/>
      <c r="V274" s="216"/>
      <c r="W274" s="216"/>
      <c r="X274" s="216"/>
      <c r="Y274" s="21">
        <f>'Eid List Entry'!E177</f>
        <v>0</v>
      </c>
      <c r="Z274" s="104">
        <f>'Eid List Entry'!D177</f>
        <v>0</v>
      </c>
      <c r="AA274" s="128"/>
      <c r="AB274" s="76"/>
      <c r="AC274" s="217"/>
      <c r="AD274" s="218"/>
      <c r="AE274" s="219"/>
      <c r="AF274" s="218"/>
    </row>
    <row r="275" spans="2:32" ht="15" customHeight="1" x14ac:dyDescent="0.25">
      <c r="B275" s="78" t="str">
        <f>'Eid List Entry'!B178</f>
        <v xml:space="preserve"> </v>
      </c>
      <c r="C275" s="215">
        <f>'Eid List Entry'!C178</f>
        <v>0</v>
      </c>
      <c r="D275" s="216"/>
      <c r="E275" s="216"/>
      <c r="F275" s="216"/>
      <c r="G275" s="216"/>
      <c r="H275" s="216"/>
      <c r="I275" s="216"/>
      <c r="J275" s="216"/>
      <c r="K275" s="216"/>
      <c r="L275" s="216"/>
      <c r="M275" s="216"/>
      <c r="N275" s="216"/>
      <c r="O275" s="216"/>
      <c r="P275" s="216"/>
      <c r="Q275" s="216"/>
      <c r="R275" s="216"/>
      <c r="S275" s="216"/>
      <c r="T275" s="216"/>
      <c r="U275" s="216"/>
      <c r="V275" s="216"/>
      <c r="W275" s="216"/>
      <c r="X275" s="216"/>
      <c r="Y275" s="21">
        <f>'Eid List Entry'!E178</f>
        <v>0</v>
      </c>
      <c r="Z275" s="104">
        <f>'Eid List Entry'!D178</f>
        <v>0</v>
      </c>
      <c r="AA275" s="128"/>
      <c r="AB275" s="76"/>
      <c r="AC275" s="217"/>
      <c r="AD275" s="218"/>
      <c r="AE275" s="219"/>
      <c r="AF275" s="218"/>
    </row>
    <row r="276" spans="2:32" ht="15" customHeight="1" x14ac:dyDescent="0.25">
      <c r="B276" s="78" t="str">
        <f>'Eid List Entry'!B179</f>
        <v xml:space="preserve"> </v>
      </c>
      <c r="C276" s="215">
        <f>'Eid List Entry'!C179</f>
        <v>0</v>
      </c>
      <c r="D276" s="216"/>
      <c r="E276" s="216"/>
      <c r="F276" s="216"/>
      <c r="G276" s="216"/>
      <c r="H276" s="216"/>
      <c r="I276" s="216"/>
      <c r="J276" s="216"/>
      <c r="K276" s="216"/>
      <c r="L276" s="216"/>
      <c r="M276" s="216"/>
      <c r="N276" s="216"/>
      <c r="O276" s="216"/>
      <c r="P276" s="216"/>
      <c r="Q276" s="216"/>
      <c r="R276" s="216"/>
      <c r="S276" s="216"/>
      <c r="T276" s="216"/>
      <c r="U276" s="216"/>
      <c r="V276" s="216"/>
      <c r="W276" s="216"/>
      <c r="X276" s="216"/>
      <c r="Y276" s="21">
        <f>'Eid List Entry'!E179</f>
        <v>0</v>
      </c>
      <c r="Z276" s="104">
        <f>'Eid List Entry'!D179</f>
        <v>0</v>
      </c>
      <c r="AA276" s="128"/>
      <c r="AB276" s="76"/>
      <c r="AC276" s="217"/>
      <c r="AD276" s="218"/>
      <c r="AE276" s="219"/>
      <c r="AF276" s="218"/>
    </row>
    <row r="277" spans="2:32" ht="15" customHeight="1" x14ac:dyDescent="0.25">
      <c r="B277" s="78" t="str">
        <f>'Eid List Entry'!B180</f>
        <v xml:space="preserve"> </v>
      </c>
      <c r="C277" s="215">
        <f>'Eid List Entry'!C180</f>
        <v>0</v>
      </c>
      <c r="D277" s="216"/>
      <c r="E277" s="216"/>
      <c r="F277" s="216"/>
      <c r="G277" s="216"/>
      <c r="H277" s="216"/>
      <c r="I277" s="216"/>
      <c r="J277" s="216"/>
      <c r="K277" s="216"/>
      <c r="L277" s="216"/>
      <c r="M277" s="216"/>
      <c r="N277" s="216"/>
      <c r="O277" s="216"/>
      <c r="P277" s="216"/>
      <c r="Q277" s="216"/>
      <c r="R277" s="216"/>
      <c r="S277" s="216"/>
      <c r="T277" s="216"/>
      <c r="U277" s="216"/>
      <c r="V277" s="216"/>
      <c r="W277" s="216"/>
      <c r="X277" s="216"/>
      <c r="Y277" s="21">
        <f>'Eid List Entry'!E180</f>
        <v>0</v>
      </c>
      <c r="Z277" s="104">
        <f>'Eid List Entry'!D180</f>
        <v>0</v>
      </c>
      <c r="AA277" s="128"/>
      <c r="AB277" s="76"/>
      <c r="AC277" s="217"/>
      <c r="AD277" s="218"/>
      <c r="AE277" s="219"/>
      <c r="AF277" s="218"/>
    </row>
    <row r="278" spans="2:32" ht="15" customHeight="1" x14ac:dyDescent="0.25">
      <c r="B278" s="78" t="str">
        <f>'Eid List Entry'!B181</f>
        <v xml:space="preserve"> </v>
      </c>
      <c r="C278" s="215">
        <f>'Eid List Entry'!C181</f>
        <v>0</v>
      </c>
      <c r="D278" s="216"/>
      <c r="E278" s="216"/>
      <c r="F278" s="216"/>
      <c r="G278" s="216"/>
      <c r="H278" s="216"/>
      <c r="I278" s="216"/>
      <c r="J278" s="216"/>
      <c r="K278" s="216"/>
      <c r="L278" s="216"/>
      <c r="M278" s="216"/>
      <c r="N278" s="216"/>
      <c r="O278" s="216"/>
      <c r="P278" s="216"/>
      <c r="Q278" s="216"/>
      <c r="R278" s="216"/>
      <c r="S278" s="216"/>
      <c r="T278" s="216"/>
      <c r="U278" s="216"/>
      <c r="V278" s="216"/>
      <c r="W278" s="216"/>
      <c r="X278" s="216"/>
      <c r="Y278" s="21">
        <f>'Eid List Entry'!E181</f>
        <v>0</v>
      </c>
      <c r="Z278" s="104">
        <f>'Eid List Entry'!D181</f>
        <v>0</v>
      </c>
      <c r="AA278" s="128"/>
      <c r="AB278" s="76"/>
      <c r="AC278" s="217"/>
      <c r="AD278" s="218"/>
      <c r="AE278" s="219"/>
      <c r="AF278" s="218"/>
    </row>
    <row r="279" spans="2:32" ht="15" customHeight="1" x14ac:dyDescent="0.25">
      <c r="B279" s="78" t="str">
        <f>'Eid List Entry'!B182</f>
        <v xml:space="preserve"> </v>
      </c>
      <c r="C279" s="215">
        <f>'Eid List Entry'!C182</f>
        <v>0</v>
      </c>
      <c r="D279" s="216"/>
      <c r="E279" s="216"/>
      <c r="F279" s="216"/>
      <c r="G279" s="216"/>
      <c r="H279" s="216"/>
      <c r="I279" s="216"/>
      <c r="J279" s="216"/>
      <c r="K279" s="216"/>
      <c r="L279" s="216"/>
      <c r="M279" s="216"/>
      <c r="N279" s="216"/>
      <c r="O279" s="216"/>
      <c r="P279" s="216"/>
      <c r="Q279" s="216"/>
      <c r="R279" s="216"/>
      <c r="S279" s="216"/>
      <c r="T279" s="216"/>
      <c r="U279" s="216"/>
      <c r="V279" s="216"/>
      <c r="W279" s="216"/>
      <c r="X279" s="216"/>
      <c r="Y279" s="21">
        <f>'Eid List Entry'!E182</f>
        <v>0</v>
      </c>
      <c r="Z279" s="104">
        <f>'Eid List Entry'!D182</f>
        <v>0</v>
      </c>
      <c r="AA279" s="128"/>
      <c r="AB279" s="76"/>
      <c r="AC279" s="217"/>
      <c r="AD279" s="218"/>
      <c r="AE279" s="219"/>
      <c r="AF279" s="218"/>
    </row>
    <row r="280" spans="2:32" ht="15" customHeight="1" x14ac:dyDescent="0.25">
      <c r="B280" s="78" t="str">
        <f>'Eid List Entry'!B183</f>
        <v xml:space="preserve"> </v>
      </c>
      <c r="C280" s="215">
        <f>'Eid List Entry'!C183</f>
        <v>0</v>
      </c>
      <c r="D280" s="216"/>
      <c r="E280" s="216"/>
      <c r="F280" s="216"/>
      <c r="G280" s="216"/>
      <c r="H280" s="216"/>
      <c r="I280" s="216"/>
      <c r="J280" s="216"/>
      <c r="K280" s="216"/>
      <c r="L280" s="216"/>
      <c r="M280" s="216"/>
      <c r="N280" s="216"/>
      <c r="O280" s="216"/>
      <c r="P280" s="216"/>
      <c r="Q280" s="216"/>
      <c r="R280" s="216"/>
      <c r="S280" s="216"/>
      <c r="T280" s="216"/>
      <c r="U280" s="216"/>
      <c r="V280" s="216"/>
      <c r="W280" s="216"/>
      <c r="X280" s="216"/>
      <c r="Y280" s="21">
        <f>'Eid List Entry'!E183</f>
        <v>0</v>
      </c>
      <c r="Z280" s="104">
        <f>'Eid List Entry'!D183</f>
        <v>0</v>
      </c>
      <c r="AA280" s="128"/>
      <c r="AB280" s="76"/>
      <c r="AC280" s="217"/>
      <c r="AD280" s="218"/>
      <c r="AE280" s="219"/>
      <c r="AF280" s="218"/>
    </row>
    <row r="281" spans="2:32" ht="15" customHeight="1" x14ac:dyDescent="0.25">
      <c r="B281" s="78" t="str">
        <f>'Eid List Entry'!B184</f>
        <v xml:space="preserve"> </v>
      </c>
      <c r="C281" s="215">
        <f>'Eid List Entry'!C184</f>
        <v>0</v>
      </c>
      <c r="D281" s="216"/>
      <c r="E281" s="216"/>
      <c r="F281" s="216"/>
      <c r="G281" s="216"/>
      <c r="H281" s="216"/>
      <c r="I281" s="216"/>
      <c r="J281" s="216"/>
      <c r="K281" s="216"/>
      <c r="L281" s="216"/>
      <c r="M281" s="216"/>
      <c r="N281" s="216"/>
      <c r="O281" s="216"/>
      <c r="P281" s="216"/>
      <c r="Q281" s="216"/>
      <c r="R281" s="216"/>
      <c r="S281" s="216"/>
      <c r="T281" s="216"/>
      <c r="U281" s="216"/>
      <c r="V281" s="216"/>
      <c r="W281" s="216"/>
      <c r="X281" s="216"/>
      <c r="Y281" s="21">
        <f>'Eid List Entry'!E184</f>
        <v>0</v>
      </c>
      <c r="Z281" s="104">
        <f>'Eid List Entry'!D184</f>
        <v>0</v>
      </c>
      <c r="AA281" s="128"/>
      <c r="AB281" s="76"/>
      <c r="AC281" s="217"/>
      <c r="AD281" s="218"/>
      <c r="AE281" s="219"/>
      <c r="AF281" s="218"/>
    </row>
    <row r="282" spans="2:32" ht="15" customHeight="1" x14ac:dyDescent="0.25">
      <c r="B282" s="78" t="str">
        <f>'Eid List Entry'!B185</f>
        <v xml:space="preserve"> </v>
      </c>
      <c r="C282" s="215">
        <f>'Eid List Entry'!C185</f>
        <v>0</v>
      </c>
      <c r="D282" s="216"/>
      <c r="E282" s="216"/>
      <c r="F282" s="216"/>
      <c r="G282" s="216"/>
      <c r="H282" s="216"/>
      <c r="I282" s="216"/>
      <c r="J282" s="216"/>
      <c r="K282" s="216"/>
      <c r="L282" s="216"/>
      <c r="M282" s="216"/>
      <c r="N282" s="216"/>
      <c r="O282" s="216"/>
      <c r="P282" s="216"/>
      <c r="Q282" s="216"/>
      <c r="R282" s="216"/>
      <c r="S282" s="216"/>
      <c r="T282" s="216"/>
      <c r="U282" s="216"/>
      <c r="V282" s="216"/>
      <c r="W282" s="216"/>
      <c r="X282" s="216"/>
      <c r="Y282" s="21">
        <f>'Eid List Entry'!E185</f>
        <v>0</v>
      </c>
      <c r="Z282" s="104">
        <f>'Eid List Entry'!D185</f>
        <v>0</v>
      </c>
      <c r="AA282" s="81"/>
      <c r="AB282" s="82"/>
      <c r="AC282" s="220"/>
      <c r="AD282" s="221"/>
      <c r="AE282" s="222"/>
      <c r="AF282" s="223"/>
    </row>
    <row r="283" spans="2:32" ht="15" customHeight="1" x14ac:dyDescent="0.25">
      <c r="B283" s="78" t="str">
        <f>'Eid List Entry'!B186</f>
        <v xml:space="preserve"> </v>
      </c>
      <c r="C283" s="215">
        <f>'Eid List Entry'!C186</f>
        <v>0</v>
      </c>
      <c r="D283" s="216"/>
      <c r="E283" s="216"/>
      <c r="F283" s="216"/>
      <c r="G283" s="216"/>
      <c r="H283" s="216"/>
      <c r="I283" s="216"/>
      <c r="J283" s="216"/>
      <c r="K283" s="216"/>
      <c r="L283" s="216"/>
      <c r="M283" s="216"/>
      <c r="N283" s="216"/>
      <c r="O283" s="216"/>
      <c r="P283" s="216"/>
      <c r="Q283" s="216"/>
      <c r="R283" s="216"/>
      <c r="S283" s="216"/>
      <c r="T283" s="216"/>
      <c r="U283" s="216"/>
      <c r="V283" s="216"/>
      <c r="W283" s="216"/>
      <c r="X283" s="216"/>
      <c r="Y283" s="21">
        <f>'Eid List Entry'!E186</f>
        <v>0</v>
      </c>
      <c r="Z283" s="104">
        <f>'Eid List Entry'!D186</f>
        <v>0</v>
      </c>
      <c r="AA283" s="128"/>
      <c r="AB283" s="82"/>
      <c r="AC283" s="217"/>
      <c r="AD283" s="218"/>
      <c r="AE283" s="219"/>
      <c r="AF283" s="218"/>
    </row>
    <row r="284" spans="2:32" ht="15" customHeight="1" x14ac:dyDescent="0.25">
      <c r="B284" s="78" t="str">
        <f>'Eid List Entry'!B187</f>
        <v xml:space="preserve"> </v>
      </c>
      <c r="C284" s="215">
        <f>'Eid List Entry'!C187</f>
        <v>0</v>
      </c>
      <c r="D284" s="216"/>
      <c r="E284" s="216"/>
      <c r="F284" s="216"/>
      <c r="G284" s="216"/>
      <c r="H284" s="216"/>
      <c r="I284" s="216"/>
      <c r="J284" s="216"/>
      <c r="K284" s="216"/>
      <c r="L284" s="216"/>
      <c r="M284" s="216"/>
      <c r="N284" s="216"/>
      <c r="O284" s="216"/>
      <c r="P284" s="216"/>
      <c r="Q284" s="216"/>
      <c r="R284" s="216"/>
      <c r="S284" s="216"/>
      <c r="T284" s="216"/>
      <c r="U284" s="216"/>
      <c r="V284" s="216"/>
      <c r="W284" s="216"/>
      <c r="X284" s="216"/>
      <c r="Y284" s="21">
        <f>'Eid List Entry'!E187</f>
        <v>0</v>
      </c>
      <c r="Z284" s="104">
        <f>'Eid List Entry'!D187</f>
        <v>0</v>
      </c>
      <c r="AA284" s="128"/>
      <c r="AB284" s="76"/>
      <c r="AC284" s="217"/>
      <c r="AD284" s="218"/>
      <c r="AE284" s="219"/>
      <c r="AF284" s="218"/>
    </row>
    <row r="285" spans="2:32" ht="15" customHeight="1" x14ac:dyDescent="0.25">
      <c r="B285" s="78" t="str">
        <f>'Eid List Entry'!B188</f>
        <v xml:space="preserve"> </v>
      </c>
      <c r="C285" s="215">
        <f>'Eid List Entry'!C188</f>
        <v>0</v>
      </c>
      <c r="D285" s="216"/>
      <c r="E285" s="216"/>
      <c r="F285" s="216"/>
      <c r="G285" s="216"/>
      <c r="H285" s="216"/>
      <c r="I285" s="216"/>
      <c r="J285" s="216"/>
      <c r="K285" s="216"/>
      <c r="L285" s="216"/>
      <c r="M285" s="216"/>
      <c r="N285" s="216"/>
      <c r="O285" s="216"/>
      <c r="P285" s="216"/>
      <c r="Q285" s="216"/>
      <c r="R285" s="216"/>
      <c r="S285" s="216"/>
      <c r="T285" s="216"/>
      <c r="U285" s="216"/>
      <c r="V285" s="216"/>
      <c r="W285" s="216"/>
      <c r="X285" s="216"/>
      <c r="Y285" s="21">
        <f>'Eid List Entry'!E188</f>
        <v>0</v>
      </c>
      <c r="Z285" s="104">
        <f>'Eid List Entry'!D188</f>
        <v>0</v>
      </c>
      <c r="AA285" s="128"/>
      <c r="AB285" s="76"/>
      <c r="AC285" s="217"/>
      <c r="AD285" s="218"/>
      <c r="AE285" s="219"/>
      <c r="AF285" s="218"/>
    </row>
    <row r="286" spans="2:32" ht="15" customHeight="1" x14ac:dyDescent="0.25">
      <c r="B286" s="78" t="str">
        <f>'Eid List Entry'!B189</f>
        <v xml:space="preserve"> </v>
      </c>
      <c r="C286" s="215">
        <f>'Eid List Entry'!C189</f>
        <v>0</v>
      </c>
      <c r="D286" s="216"/>
      <c r="E286" s="216"/>
      <c r="F286" s="216"/>
      <c r="G286" s="216"/>
      <c r="H286" s="216"/>
      <c r="I286" s="216"/>
      <c r="J286" s="216"/>
      <c r="K286" s="216"/>
      <c r="L286" s="216"/>
      <c r="M286" s="216"/>
      <c r="N286" s="216"/>
      <c r="O286" s="216"/>
      <c r="P286" s="216"/>
      <c r="Q286" s="216"/>
      <c r="R286" s="216"/>
      <c r="S286" s="216"/>
      <c r="T286" s="216"/>
      <c r="U286" s="216"/>
      <c r="V286" s="216"/>
      <c r="W286" s="216"/>
      <c r="X286" s="216"/>
      <c r="Y286" s="21">
        <f>'Eid List Entry'!E189</f>
        <v>0</v>
      </c>
      <c r="Z286" s="104">
        <f>'Eid List Entry'!D189</f>
        <v>0</v>
      </c>
      <c r="AA286" s="128"/>
      <c r="AB286" s="76"/>
      <c r="AC286" s="217"/>
      <c r="AD286" s="218"/>
      <c r="AE286" s="219"/>
      <c r="AF286" s="218"/>
    </row>
    <row r="287" spans="2:32" ht="15" customHeight="1" x14ac:dyDescent="0.25">
      <c r="B287" s="78" t="str">
        <f>'Eid List Entry'!B190</f>
        <v xml:space="preserve"> </v>
      </c>
      <c r="C287" s="215">
        <f>'Eid List Entry'!C190</f>
        <v>0</v>
      </c>
      <c r="D287" s="216"/>
      <c r="E287" s="216"/>
      <c r="F287" s="216"/>
      <c r="G287" s="216"/>
      <c r="H287" s="216"/>
      <c r="I287" s="216"/>
      <c r="J287" s="216"/>
      <c r="K287" s="216"/>
      <c r="L287" s="216"/>
      <c r="M287" s="216"/>
      <c r="N287" s="216"/>
      <c r="O287" s="216"/>
      <c r="P287" s="216"/>
      <c r="Q287" s="216"/>
      <c r="R287" s="216"/>
      <c r="S287" s="216"/>
      <c r="T287" s="216"/>
      <c r="U287" s="216"/>
      <c r="V287" s="216"/>
      <c r="W287" s="216"/>
      <c r="X287" s="216"/>
      <c r="Y287" s="21">
        <f>'Eid List Entry'!E190</f>
        <v>0</v>
      </c>
      <c r="Z287" s="104">
        <f>'Eid List Entry'!D190</f>
        <v>0</v>
      </c>
      <c r="AA287" s="128"/>
      <c r="AB287" s="76"/>
      <c r="AC287" s="217"/>
      <c r="AD287" s="218"/>
      <c r="AE287" s="219"/>
      <c r="AF287" s="218"/>
    </row>
    <row r="288" spans="2:32" ht="15" customHeight="1" x14ac:dyDescent="0.25">
      <c r="B288" s="78" t="str">
        <f>'Eid List Entry'!B191</f>
        <v xml:space="preserve"> </v>
      </c>
      <c r="C288" s="215">
        <f>'Eid List Entry'!C191</f>
        <v>0</v>
      </c>
      <c r="D288" s="216"/>
      <c r="E288" s="216"/>
      <c r="F288" s="216"/>
      <c r="G288" s="216"/>
      <c r="H288" s="216"/>
      <c r="I288" s="216"/>
      <c r="J288" s="216"/>
      <c r="K288" s="216"/>
      <c r="L288" s="216"/>
      <c r="M288" s="216"/>
      <c r="N288" s="216"/>
      <c r="O288" s="216"/>
      <c r="P288" s="216"/>
      <c r="Q288" s="216"/>
      <c r="R288" s="216"/>
      <c r="S288" s="216"/>
      <c r="T288" s="216"/>
      <c r="U288" s="216"/>
      <c r="V288" s="216"/>
      <c r="W288" s="216"/>
      <c r="X288" s="216"/>
      <c r="Y288" s="21">
        <f>'Eid List Entry'!E191</f>
        <v>0</v>
      </c>
      <c r="Z288" s="104">
        <f>'Eid List Entry'!D191</f>
        <v>0</v>
      </c>
      <c r="AA288" s="128"/>
      <c r="AB288" s="76"/>
      <c r="AC288" s="217"/>
      <c r="AD288" s="218"/>
      <c r="AE288" s="219"/>
      <c r="AF288" s="218"/>
    </row>
    <row r="289" spans="2:32" ht="15" customHeight="1" x14ac:dyDescent="0.25">
      <c r="B289" s="78" t="str">
        <f>'Eid List Entry'!B192</f>
        <v xml:space="preserve"> </v>
      </c>
      <c r="C289" s="215">
        <f>'Eid List Entry'!C192</f>
        <v>0</v>
      </c>
      <c r="D289" s="216"/>
      <c r="E289" s="216"/>
      <c r="F289" s="216"/>
      <c r="G289" s="216"/>
      <c r="H289" s="216"/>
      <c r="I289" s="216"/>
      <c r="J289" s="216"/>
      <c r="K289" s="216"/>
      <c r="L289" s="216"/>
      <c r="M289" s="216"/>
      <c r="N289" s="216"/>
      <c r="O289" s="216"/>
      <c r="P289" s="216"/>
      <c r="Q289" s="216"/>
      <c r="R289" s="216"/>
      <c r="S289" s="216"/>
      <c r="T289" s="216"/>
      <c r="U289" s="216"/>
      <c r="V289" s="216"/>
      <c r="W289" s="216"/>
      <c r="X289" s="216"/>
      <c r="Y289" s="21">
        <f>'Eid List Entry'!E192</f>
        <v>0</v>
      </c>
      <c r="Z289" s="104">
        <f>'Eid List Entry'!D192</f>
        <v>0</v>
      </c>
      <c r="AA289" s="128"/>
      <c r="AB289" s="76"/>
      <c r="AC289" s="217"/>
      <c r="AD289" s="218"/>
      <c r="AE289" s="219"/>
      <c r="AF289" s="218"/>
    </row>
    <row r="290" spans="2:32" ht="15" customHeight="1" x14ac:dyDescent="0.25">
      <c r="B290" s="78" t="str">
        <f>'Eid List Entry'!B193</f>
        <v xml:space="preserve"> </v>
      </c>
      <c r="C290" s="215">
        <f>'Eid List Entry'!C193</f>
        <v>0</v>
      </c>
      <c r="D290" s="216"/>
      <c r="E290" s="216"/>
      <c r="F290" s="216"/>
      <c r="G290" s="216"/>
      <c r="H290" s="216"/>
      <c r="I290" s="216"/>
      <c r="J290" s="216"/>
      <c r="K290" s="216"/>
      <c r="L290" s="216"/>
      <c r="M290" s="216"/>
      <c r="N290" s="216"/>
      <c r="O290" s="216"/>
      <c r="P290" s="216"/>
      <c r="Q290" s="216"/>
      <c r="R290" s="216"/>
      <c r="S290" s="216"/>
      <c r="T290" s="216"/>
      <c r="U290" s="216"/>
      <c r="V290" s="216"/>
      <c r="W290" s="216"/>
      <c r="X290" s="216"/>
      <c r="Y290" s="21">
        <f>'Eid List Entry'!E193</f>
        <v>0</v>
      </c>
      <c r="Z290" s="104">
        <f>'Eid List Entry'!D193</f>
        <v>0</v>
      </c>
      <c r="AA290" s="128"/>
      <c r="AB290" s="76"/>
      <c r="AC290" s="217"/>
      <c r="AD290" s="218"/>
      <c r="AE290" s="219"/>
      <c r="AF290" s="218"/>
    </row>
    <row r="291" spans="2:32" ht="1.5" customHeight="1" x14ac:dyDescent="0.25">
      <c r="B291" s="12"/>
      <c r="C291" s="12"/>
      <c r="D291" s="12"/>
      <c r="E291" s="12"/>
      <c r="F291" s="12"/>
      <c r="G291" s="12"/>
      <c r="H291" s="12"/>
      <c r="I291" s="12"/>
      <c r="J291" s="12"/>
      <c r="K291" s="12"/>
      <c r="L291" s="12"/>
      <c r="M291" s="12"/>
      <c r="N291" s="12"/>
      <c r="O291" s="12"/>
      <c r="P291" s="12"/>
    </row>
    <row r="292" spans="2:32" ht="74.25" customHeight="1" x14ac:dyDescent="0.25">
      <c r="B292" s="12"/>
      <c r="C292" s="12"/>
      <c r="D292" s="12"/>
      <c r="E292" s="12"/>
      <c r="F292" s="12"/>
      <c r="G292" s="12"/>
      <c r="H292" s="12"/>
      <c r="I292" s="12"/>
      <c r="J292" s="12"/>
      <c r="K292" s="12"/>
      <c r="L292" s="12"/>
      <c r="M292" s="12"/>
      <c r="N292" s="12"/>
      <c r="O292" s="12"/>
      <c r="P292" s="12"/>
    </row>
    <row r="293" spans="2:32" ht="18" customHeight="1" x14ac:dyDescent="0.25">
      <c r="B293" s="160" t="s">
        <v>0</v>
      </c>
      <c r="C293" s="249" t="s">
        <v>9</v>
      </c>
      <c r="D293" s="250"/>
      <c r="E293" s="251">
        <f>E264</f>
        <v>1594</v>
      </c>
      <c r="F293" s="252"/>
      <c r="G293" s="252"/>
      <c r="H293" s="252"/>
      <c r="I293" s="252"/>
      <c r="J293" s="252"/>
      <c r="K293" s="252"/>
      <c r="L293" s="252"/>
      <c r="M293" s="252"/>
      <c r="N293" s="252"/>
      <c r="O293" s="252"/>
      <c r="P293" s="252"/>
      <c r="Q293" s="252"/>
      <c r="R293" s="252"/>
      <c r="S293" s="252"/>
      <c r="T293" s="252"/>
      <c r="U293" s="252"/>
      <c r="V293" s="252"/>
      <c r="W293" s="252"/>
      <c r="X293" s="252"/>
      <c r="Y293" s="252"/>
      <c r="Z293" s="253" t="s">
        <v>10</v>
      </c>
      <c r="AA293" s="254"/>
      <c r="AB293" s="259" t="s">
        <v>11</v>
      </c>
      <c r="AC293" s="260"/>
      <c r="AD293" s="261"/>
      <c r="AE293" s="288" t="s">
        <v>12</v>
      </c>
      <c r="AF293" s="289"/>
    </row>
    <row r="294" spans="2:32" ht="18" customHeight="1" x14ac:dyDescent="0.25">
      <c r="B294" s="161">
        <f ca="1">B265</f>
        <v>44621</v>
      </c>
      <c r="C294" s="274" t="s">
        <v>13</v>
      </c>
      <c r="D294" s="274"/>
      <c r="E294" s="274"/>
      <c r="F294" s="274"/>
      <c r="G294" s="274"/>
      <c r="H294" s="274"/>
      <c r="I294" s="274"/>
      <c r="J294" s="274"/>
      <c r="K294" s="274"/>
      <c r="L294" s="275">
        <f>L265</f>
        <v>0</v>
      </c>
      <c r="M294" s="275"/>
      <c r="N294" s="275"/>
      <c r="O294" s="275"/>
      <c r="P294" s="275"/>
      <c r="Q294" s="275"/>
      <c r="R294" s="275"/>
      <c r="S294" s="275"/>
      <c r="T294" s="275"/>
      <c r="U294" s="275"/>
      <c r="V294" s="275"/>
      <c r="W294" s="275"/>
      <c r="X294" s="275"/>
      <c r="Y294" s="275"/>
      <c r="Z294" s="255"/>
      <c r="AA294" s="256"/>
      <c r="AB294" s="262"/>
      <c r="AC294" s="263"/>
      <c r="AD294" s="264"/>
      <c r="AE294" s="290"/>
      <c r="AF294" s="291"/>
    </row>
    <row r="295" spans="2:32" ht="18" customHeight="1" x14ac:dyDescent="0.25">
      <c r="B295" s="159" t="s">
        <v>14</v>
      </c>
      <c r="C295" s="276" t="s">
        <v>15</v>
      </c>
      <c r="D295" s="277"/>
      <c r="E295" s="277"/>
      <c r="F295" s="278"/>
      <c r="G295" s="278">
        <f>G266</f>
        <v>0</v>
      </c>
      <c r="H295" s="278"/>
      <c r="I295" s="278"/>
      <c r="J295" s="278"/>
      <c r="K295" s="278"/>
      <c r="L295" s="278"/>
      <c r="M295" s="278"/>
      <c r="N295" s="278"/>
      <c r="O295" s="278"/>
      <c r="P295" s="278"/>
      <c r="Q295" s="278"/>
      <c r="R295" s="278"/>
      <c r="S295" s="278"/>
      <c r="T295" s="278"/>
      <c r="U295" s="278"/>
      <c r="V295" s="278"/>
      <c r="W295" s="278"/>
      <c r="X295" s="278"/>
      <c r="Y295" s="279"/>
      <c r="Z295" s="257"/>
      <c r="AA295" s="258"/>
      <c r="AB295" s="265"/>
      <c r="AC295" s="266"/>
      <c r="AD295" s="267"/>
      <c r="AE295" s="292"/>
      <c r="AF295" s="293"/>
    </row>
    <row r="296" spans="2:32" ht="18.75" customHeight="1" x14ac:dyDescent="0.25">
      <c r="B296" s="321" t="str">
        <f>_xlfn.CONCAT("11"," ","of"," ",IF(ISBLANK('Eid List Entry'!C14),1,
IF(ISBLANK('Eid List Entry'!C34),2,
IF(ISBLANK('Eid List Entry'!C54),3,
IF(ISBLANK('Eid List Entry'!C74),4,
IF(ISBLANK('Eid List Entry'!C94),5,
IF(ISBLANK('Eid List Entry'!C114),6,
IF(ISBLANK('Eid List Entry'!C134),7,
IF(ISBLANK('Eid List Entry'!C154),8,
IF(ISBLANK('Eid List Entry'!C174),9,
IF(ISBLANK('Eid List Entry'!C194),10,
IF(ISBLANK('Eid List Entry'!C214),11,
IF(ISBLANK('Eid List Entry'!C234),12,
IF(ISBLANK('Eid List Entry'!C254),13))))))))))))))</f>
        <v>11 of 1</v>
      </c>
      <c r="C296" s="280"/>
      <c r="D296" s="281"/>
      <c r="E296" s="281"/>
      <c r="F296" s="281"/>
      <c r="G296" s="281"/>
      <c r="H296" s="281"/>
      <c r="I296" s="281"/>
      <c r="J296" s="281"/>
      <c r="K296" s="281"/>
      <c r="L296" s="281"/>
      <c r="M296" s="281"/>
      <c r="N296" s="281"/>
      <c r="O296" s="281"/>
      <c r="P296" s="281"/>
      <c r="Q296" s="281"/>
      <c r="R296" s="281"/>
      <c r="S296" s="281"/>
      <c r="T296" s="281"/>
      <c r="U296" s="281"/>
      <c r="V296" s="281"/>
      <c r="W296" s="281"/>
      <c r="X296" s="281"/>
      <c r="Y296" s="282"/>
      <c r="Z296" s="286" t="s">
        <v>7</v>
      </c>
      <c r="AA296" s="234" t="s">
        <v>1</v>
      </c>
      <c r="AB296" s="236" t="s">
        <v>21</v>
      </c>
      <c r="AC296" s="237"/>
      <c r="AD296" s="232"/>
      <c r="AE296" s="236" t="s">
        <v>39</v>
      </c>
      <c r="AF296" s="232"/>
    </row>
    <row r="297" spans="2:32" ht="17.25" customHeight="1" x14ac:dyDescent="0.25">
      <c r="B297" s="321"/>
      <c r="C297" s="283"/>
      <c r="D297" s="284"/>
      <c r="E297" s="284"/>
      <c r="F297" s="284"/>
      <c r="G297" s="284"/>
      <c r="H297" s="284"/>
      <c r="I297" s="284"/>
      <c r="J297" s="284"/>
      <c r="K297" s="284"/>
      <c r="L297" s="284"/>
      <c r="M297" s="284"/>
      <c r="N297" s="284"/>
      <c r="O297" s="284"/>
      <c r="P297" s="284"/>
      <c r="Q297" s="284"/>
      <c r="R297" s="284"/>
      <c r="S297" s="284"/>
      <c r="T297" s="284"/>
      <c r="U297" s="284"/>
      <c r="V297" s="284"/>
      <c r="W297" s="284"/>
      <c r="X297" s="284"/>
      <c r="Y297" s="285"/>
      <c r="Z297" s="234"/>
      <c r="AA297" s="234"/>
      <c r="AB297" s="238"/>
      <c r="AC297" s="239"/>
      <c r="AD297" s="233"/>
      <c r="AE297" s="238"/>
      <c r="AF297" s="233"/>
    </row>
    <row r="298" spans="2:32" ht="17.25" customHeight="1" x14ac:dyDescent="0.25">
      <c r="B298" s="322"/>
      <c r="C298" s="287" t="s">
        <v>3</v>
      </c>
      <c r="D298" s="224"/>
      <c r="E298" s="224"/>
      <c r="F298" s="224"/>
      <c r="G298" s="287">
        <f>G269</f>
        <v>0</v>
      </c>
      <c r="H298" s="224"/>
      <c r="I298" s="224"/>
      <c r="J298" s="224"/>
      <c r="K298" s="224"/>
      <c r="L298" s="77"/>
      <c r="M298" s="77"/>
      <c r="N298" s="77"/>
      <c r="O298" s="77"/>
      <c r="P298" s="77"/>
      <c r="Q298" s="77"/>
      <c r="R298" s="77"/>
      <c r="S298" s="77"/>
      <c r="T298" s="77"/>
      <c r="U298" s="77"/>
      <c r="V298" s="77"/>
      <c r="W298" s="77"/>
      <c r="X298" s="77"/>
      <c r="Y298" s="77"/>
      <c r="Z298" s="234"/>
      <c r="AA298" s="235"/>
      <c r="AB298" s="240"/>
      <c r="AC298" s="241"/>
      <c r="AD298" s="242"/>
      <c r="AE298" s="238"/>
      <c r="AF298" s="233"/>
    </row>
    <row r="299" spans="2:32" ht="36.75" customHeight="1" x14ac:dyDescent="0.25">
      <c r="B299" s="68" t="s">
        <v>2</v>
      </c>
      <c r="C299" s="244" t="str">
        <f>C269</f>
        <v xml:space="preserve">Lock Box # </v>
      </c>
      <c r="D299" s="244"/>
      <c r="E299" s="244"/>
      <c r="F299" s="244"/>
      <c r="G299" s="244"/>
      <c r="H299" s="244"/>
      <c r="I299" s="244"/>
      <c r="J299" s="244"/>
      <c r="K299" s="244"/>
      <c r="L299" s="244"/>
      <c r="M299" s="244"/>
      <c r="N299" s="244"/>
      <c r="O299" s="244"/>
      <c r="P299" s="244"/>
      <c r="Q299" s="244"/>
      <c r="R299" s="244"/>
      <c r="S299" s="244"/>
      <c r="T299" s="244"/>
      <c r="U299" s="244"/>
      <c r="V299" s="244"/>
      <c r="W299" s="244"/>
      <c r="X299" s="244"/>
      <c r="Y299" s="80" t="s">
        <v>28</v>
      </c>
      <c r="Z299" s="235"/>
      <c r="AA299" s="79" t="s">
        <v>73</v>
      </c>
      <c r="AB299" s="79" t="s">
        <v>73</v>
      </c>
      <c r="AC299" s="245" t="s">
        <v>73</v>
      </c>
      <c r="AD299" s="246"/>
      <c r="AE299" s="240"/>
      <c r="AF299" s="242"/>
    </row>
    <row r="300" spans="2:32" ht="15" customHeight="1" x14ac:dyDescent="0.25">
      <c r="B300" s="78" t="str">
        <f>'Eid List Entry'!B194</f>
        <v xml:space="preserve"> </v>
      </c>
      <c r="C300" s="215">
        <f>'Eid List Entry'!C194</f>
        <v>0</v>
      </c>
      <c r="D300" s="216"/>
      <c r="E300" s="216"/>
      <c r="F300" s="216"/>
      <c r="G300" s="216"/>
      <c r="H300" s="216"/>
      <c r="I300" s="216"/>
      <c r="J300" s="216"/>
      <c r="K300" s="216"/>
      <c r="L300" s="216"/>
      <c r="M300" s="216"/>
      <c r="N300" s="216"/>
      <c r="O300" s="216"/>
      <c r="P300" s="216"/>
      <c r="Q300" s="216"/>
      <c r="R300" s="216"/>
      <c r="S300" s="216"/>
      <c r="T300" s="216"/>
      <c r="U300" s="216"/>
      <c r="V300" s="216"/>
      <c r="W300" s="216"/>
      <c r="X300" s="216"/>
      <c r="Y300" s="21">
        <f>'Eid List Entry'!E194</f>
        <v>0</v>
      </c>
      <c r="Z300" s="104">
        <f>'Eid List Entry'!D194</f>
        <v>0</v>
      </c>
      <c r="AA300" s="128"/>
      <c r="AB300" s="76"/>
      <c r="AC300" s="217"/>
      <c r="AD300" s="218"/>
      <c r="AE300" s="224"/>
      <c r="AF300" s="225"/>
    </row>
    <row r="301" spans="2:32" ht="15" customHeight="1" x14ac:dyDescent="0.25">
      <c r="B301" s="78" t="str">
        <f>'Eid List Entry'!B195</f>
        <v xml:space="preserve"> </v>
      </c>
      <c r="C301" s="215">
        <f>'Eid List Entry'!C195</f>
        <v>0</v>
      </c>
      <c r="D301" s="216"/>
      <c r="E301" s="216"/>
      <c r="F301" s="216"/>
      <c r="G301" s="216"/>
      <c r="H301" s="216"/>
      <c r="I301" s="216"/>
      <c r="J301" s="216"/>
      <c r="K301" s="216"/>
      <c r="L301" s="216"/>
      <c r="M301" s="216"/>
      <c r="N301" s="216"/>
      <c r="O301" s="216"/>
      <c r="P301" s="216"/>
      <c r="Q301" s="216"/>
      <c r="R301" s="216"/>
      <c r="S301" s="216"/>
      <c r="T301" s="216"/>
      <c r="U301" s="216"/>
      <c r="V301" s="216"/>
      <c r="W301" s="216"/>
      <c r="X301" s="216"/>
      <c r="Y301" s="21">
        <f>'Eid List Entry'!E195</f>
        <v>0</v>
      </c>
      <c r="Z301" s="104">
        <f>'Eid List Entry'!D195</f>
        <v>0</v>
      </c>
      <c r="AA301" s="128"/>
      <c r="AB301" s="76"/>
      <c r="AC301" s="217"/>
      <c r="AD301" s="218"/>
      <c r="AE301" s="219"/>
      <c r="AF301" s="218"/>
    </row>
    <row r="302" spans="2:32" ht="15" customHeight="1" x14ac:dyDescent="0.25">
      <c r="B302" s="78" t="str">
        <f>'Eid List Entry'!B196</f>
        <v xml:space="preserve"> </v>
      </c>
      <c r="C302" s="215">
        <f>'Eid List Entry'!C196</f>
        <v>0</v>
      </c>
      <c r="D302" s="216"/>
      <c r="E302" s="216"/>
      <c r="F302" s="216"/>
      <c r="G302" s="216"/>
      <c r="H302" s="216"/>
      <c r="I302" s="216"/>
      <c r="J302" s="216"/>
      <c r="K302" s="216"/>
      <c r="L302" s="216"/>
      <c r="M302" s="216"/>
      <c r="N302" s="216"/>
      <c r="O302" s="216"/>
      <c r="P302" s="216"/>
      <c r="Q302" s="216"/>
      <c r="R302" s="216"/>
      <c r="S302" s="216"/>
      <c r="T302" s="216"/>
      <c r="U302" s="216"/>
      <c r="V302" s="216"/>
      <c r="W302" s="216"/>
      <c r="X302" s="216"/>
      <c r="Y302" s="21">
        <f>'Eid List Entry'!E196</f>
        <v>0</v>
      </c>
      <c r="Z302" s="104">
        <f>'Eid List Entry'!D196</f>
        <v>0</v>
      </c>
      <c r="AA302" s="128"/>
      <c r="AB302" s="76"/>
      <c r="AC302" s="217"/>
      <c r="AD302" s="218"/>
      <c r="AE302" s="219"/>
      <c r="AF302" s="218"/>
    </row>
    <row r="303" spans="2:32" ht="15" customHeight="1" x14ac:dyDescent="0.25">
      <c r="B303" s="78" t="str">
        <f>'Eid List Entry'!B197</f>
        <v xml:space="preserve"> </v>
      </c>
      <c r="C303" s="215">
        <f>'Eid List Entry'!C197</f>
        <v>0</v>
      </c>
      <c r="D303" s="216"/>
      <c r="E303" s="216"/>
      <c r="F303" s="216"/>
      <c r="G303" s="216"/>
      <c r="H303" s="216"/>
      <c r="I303" s="216"/>
      <c r="J303" s="216"/>
      <c r="K303" s="216"/>
      <c r="L303" s="216"/>
      <c r="M303" s="216"/>
      <c r="N303" s="216"/>
      <c r="O303" s="216"/>
      <c r="P303" s="216"/>
      <c r="Q303" s="216"/>
      <c r="R303" s="216"/>
      <c r="S303" s="216"/>
      <c r="T303" s="216"/>
      <c r="U303" s="216"/>
      <c r="V303" s="216"/>
      <c r="W303" s="216"/>
      <c r="X303" s="216"/>
      <c r="Y303" s="21">
        <f>'Eid List Entry'!E197</f>
        <v>0</v>
      </c>
      <c r="Z303" s="104">
        <f>'Eid List Entry'!D197</f>
        <v>0</v>
      </c>
      <c r="AA303" s="128"/>
      <c r="AB303" s="76"/>
      <c r="AC303" s="217"/>
      <c r="AD303" s="218"/>
      <c r="AE303" s="219"/>
      <c r="AF303" s="218"/>
    </row>
    <row r="304" spans="2:32" ht="15" customHeight="1" x14ac:dyDescent="0.25">
      <c r="B304" s="78" t="str">
        <f>'Eid List Entry'!B198</f>
        <v xml:space="preserve"> </v>
      </c>
      <c r="C304" s="215">
        <f>'Eid List Entry'!C198</f>
        <v>0</v>
      </c>
      <c r="D304" s="216"/>
      <c r="E304" s="216"/>
      <c r="F304" s="216"/>
      <c r="G304" s="216"/>
      <c r="H304" s="216"/>
      <c r="I304" s="216"/>
      <c r="J304" s="216"/>
      <c r="K304" s="216"/>
      <c r="L304" s="216"/>
      <c r="M304" s="216"/>
      <c r="N304" s="216"/>
      <c r="O304" s="216"/>
      <c r="P304" s="216"/>
      <c r="Q304" s="216"/>
      <c r="R304" s="216"/>
      <c r="S304" s="216"/>
      <c r="T304" s="216"/>
      <c r="U304" s="216"/>
      <c r="V304" s="216"/>
      <c r="W304" s="216"/>
      <c r="X304" s="216"/>
      <c r="Y304" s="21">
        <f>'Eid List Entry'!E198</f>
        <v>0</v>
      </c>
      <c r="Z304" s="104">
        <f>'Eid List Entry'!D198</f>
        <v>0</v>
      </c>
      <c r="AA304" s="128"/>
      <c r="AB304" s="76"/>
      <c r="AC304" s="217"/>
      <c r="AD304" s="218"/>
      <c r="AE304" s="219"/>
      <c r="AF304" s="218"/>
    </row>
    <row r="305" spans="2:34" ht="15" customHeight="1" x14ac:dyDescent="0.25">
      <c r="B305" s="78" t="str">
        <f>'Eid List Entry'!B199</f>
        <v xml:space="preserve"> </v>
      </c>
      <c r="C305" s="215">
        <f>'Eid List Entry'!C199</f>
        <v>0</v>
      </c>
      <c r="D305" s="216"/>
      <c r="E305" s="216"/>
      <c r="F305" s="216"/>
      <c r="G305" s="216"/>
      <c r="H305" s="216"/>
      <c r="I305" s="216"/>
      <c r="J305" s="216"/>
      <c r="K305" s="216"/>
      <c r="L305" s="216"/>
      <c r="M305" s="216"/>
      <c r="N305" s="216"/>
      <c r="O305" s="216"/>
      <c r="P305" s="216"/>
      <c r="Q305" s="216"/>
      <c r="R305" s="216"/>
      <c r="S305" s="216"/>
      <c r="T305" s="216"/>
      <c r="U305" s="216"/>
      <c r="V305" s="216"/>
      <c r="W305" s="216"/>
      <c r="X305" s="216"/>
      <c r="Y305" s="21">
        <f>'Eid List Entry'!E199</f>
        <v>0</v>
      </c>
      <c r="Z305" s="104">
        <f>'Eid List Entry'!D199</f>
        <v>0</v>
      </c>
      <c r="AA305" s="128"/>
      <c r="AB305" s="76"/>
      <c r="AC305" s="217"/>
      <c r="AD305" s="218"/>
      <c r="AE305" s="219"/>
      <c r="AF305" s="218"/>
    </row>
    <row r="306" spans="2:34" ht="15" customHeight="1" x14ac:dyDescent="0.25">
      <c r="B306" s="78" t="str">
        <f>'Eid List Entry'!B200</f>
        <v xml:space="preserve"> </v>
      </c>
      <c r="C306" s="215">
        <f>'Eid List Entry'!C200</f>
        <v>0</v>
      </c>
      <c r="D306" s="216"/>
      <c r="E306" s="216"/>
      <c r="F306" s="216"/>
      <c r="G306" s="216"/>
      <c r="H306" s="216"/>
      <c r="I306" s="216"/>
      <c r="J306" s="216"/>
      <c r="K306" s="216"/>
      <c r="L306" s="216"/>
      <c r="M306" s="216"/>
      <c r="N306" s="216"/>
      <c r="O306" s="216"/>
      <c r="P306" s="216"/>
      <c r="Q306" s="216"/>
      <c r="R306" s="216"/>
      <c r="S306" s="216"/>
      <c r="T306" s="216"/>
      <c r="U306" s="216"/>
      <c r="V306" s="216"/>
      <c r="W306" s="216"/>
      <c r="X306" s="216"/>
      <c r="Y306" s="21">
        <f>'Eid List Entry'!E200</f>
        <v>0</v>
      </c>
      <c r="Z306" s="104">
        <f>'Eid List Entry'!D200</f>
        <v>0</v>
      </c>
      <c r="AA306" s="128"/>
      <c r="AB306" s="76"/>
      <c r="AC306" s="217"/>
      <c r="AD306" s="218"/>
      <c r="AE306" s="219"/>
      <c r="AF306" s="218"/>
    </row>
    <row r="307" spans="2:34" ht="15" customHeight="1" x14ac:dyDescent="0.25">
      <c r="B307" s="78" t="str">
        <f>'Eid List Entry'!B201</f>
        <v xml:space="preserve"> </v>
      </c>
      <c r="C307" s="215">
        <f>'Eid List Entry'!C201</f>
        <v>0</v>
      </c>
      <c r="D307" s="216"/>
      <c r="E307" s="216"/>
      <c r="F307" s="216"/>
      <c r="G307" s="216"/>
      <c r="H307" s="216"/>
      <c r="I307" s="216"/>
      <c r="J307" s="216"/>
      <c r="K307" s="216"/>
      <c r="L307" s="216"/>
      <c r="M307" s="216"/>
      <c r="N307" s="216"/>
      <c r="O307" s="216"/>
      <c r="P307" s="216"/>
      <c r="Q307" s="216"/>
      <c r="R307" s="216"/>
      <c r="S307" s="216"/>
      <c r="T307" s="216"/>
      <c r="U307" s="216"/>
      <c r="V307" s="216"/>
      <c r="W307" s="216"/>
      <c r="X307" s="216"/>
      <c r="Y307" s="21">
        <f>'Eid List Entry'!E201</f>
        <v>0</v>
      </c>
      <c r="Z307" s="104">
        <f>'Eid List Entry'!D201</f>
        <v>0</v>
      </c>
      <c r="AA307" s="128"/>
      <c r="AB307" s="76"/>
      <c r="AC307" s="217"/>
      <c r="AD307" s="218"/>
      <c r="AE307" s="219"/>
      <c r="AF307" s="218"/>
    </row>
    <row r="308" spans="2:34" ht="15" customHeight="1" x14ac:dyDescent="0.25">
      <c r="B308" s="78" t="str">
        <f>'Eid List Entry'!B202</f>
        <v xml:space="preserve"> </v>
      </c>
      <c r="C308" s="215">
        <f>'Eid List Entry'!C202</f>
        <v>0</v>
      </c>
      <c r="D308" s="216"/>
      <c r="E308" s="216"/>
      <c r="F308" s="216"/>
      <c r="G308" s="216"/>
      <c r="H308" s="216"/>
      <c r="I308" s="216"/>
      <c r="J308" s="216"/>
      <c r="K308" s="216"/>
      <c r="L308" s="216"/>
      <c r="M308" s="216"/>
      <c r="N308" s="216"/>
      <c r="O308" s="216"/>
      <c r="P308" s="216"/>
      <c r="Q308" s="216"/>
      <c r="R308" s="216"/>
      <c r="S308" s="216"/>
      <c r="T308" s="216"/>
      <c r="U308" s="216"/>
      <c r="V308" s="216"/>
      <c r="W308" s="216"/>
      <c r="X308" s="216"/>
      <c r="Y308" s="21">
        <f>'Eid List Entry'!E202</f>
        <v>0</v>
      </c>
      <c r="Z308" s="104">
        <f>'Eid List Entry'!D202</f>
        <v>0</v>
      </c>
      <c r="AA308" s="128"/>
      <c r="AB308" s="76"/>
      <c r="AC308" s="217"/>
      <c r="AD308" s="218"/>
      <c r="AE308" s="219"/>
      <c r="AF308" s="218"/>
    </row>
    <row r="309" spans="2:34" ht="15" customHeight="1" x14ac:dyDescent="0.25">
      <c r="B309" s="78" t="str">
        <f>'Eid List Entry'!B203</f>
        <v xml:space="preserve"> </v>
      </c>
      <c r="C309" s="215">
        <f>'Eid List Entry'!C203</f>
        <v>0</v>
      </c>
      <c r="D309" s="216"/>
      <c r="E309" s="216"/>
      <c r="F309" s="216"/>
      <c r="G309" s="216"/>
      <c r="H309" s="216"/>
      <c r="I309" s="216"/>
      <c r="J309" s="216"/>
      <c r="K309" s="216"/>
      <c r="L309" s="216"/>
      <c r="M309" s="216"/>
      <c r="N309" s="216"/>
      <c r="O309" s="216"/>
      <c r="P309" s="216"/>
      <c r="Q309" s="216"/>
      <c r="R309" s="216"/>
      <c r="S309" s="216"/>
      <c r="T309" s="216"/>
      <c r="U309" s="216"/>
      <c r="V309" s="216"/>
      <c r="W309" s="216"/>
      <c r="X309" s="216"/>
      <c r="Y309" s="21">
        <f>'Eid List Entry'!E203</f>
        <v>0</v>
      </c>
      <c r="Z309" s="104">
        <f>'Eid List Entry'!D203</f>
        <v>0</v>
      </c>
      <c r="AA309" s="128"/>
      <c r="AB309" s="76"/>
      <c r="AC309" s="217"/>
      <c r="AD309" s="218"/>
      <c r="AE309" s="219"/>
      <c r="AF309" s="218"/>
    </row>
    <row r="310" spans="2:34" ht="15" customHeight="1" x14ac:dyDescent="0.25">
      <c r="B310" s="78" t="str">
        <f>'Eid List Entry'!B204</f>
        <v xml:space="preserve"> </v>
      </c>
      <c r="C310" s="215">
        <f>'Eid List Entry'!C204</f>
        <v>0</v>
      </c>
      <c r="D310" s="216"/>
      <c r="E310" s="216"/>
      <c r="F310" s="216"/>
      <c r="G310" s="216"/>
      <c r="H310" s="216"/>
      <c r="I310" s="216"/>
      <c r="J310" s="216"/>
      <c r="K310" s="216"/>
      <c r="L310" s="216"/>
      <c r="M310" s="216"/>
      <c r="N310" s="216"/>
      <c r="O310" s="216"/>
      <c r="P310" s="216"/>
      <c r="Q310" s="216"/>
      <c r="R310" s="216"/>
      <c r="S310" s="216"/>
      <c r="T310" s="216"/>
      <c r="U310" s="216"/>
      <c r="V310" s="216"/>
      <c r="W310" s="216"/>
      <c r="X310" s="216"/>
      <c r="Y310" s="21">
        <f>'Eid List Entry'!E204</f>
        <v>0</v>
      </c>
      <c r="Z310" s="104">
        <f>'Eid List Entry'!D204</f>
        <v>0</v>
      </c>
      <c r="AA310" s="128"/>
      <c r="AB310" s="76"/>
      <c r="AC310" s="217"/>
      <c r="AD310" s="218"/>
      <c r="AE310" s="219"/>
      <c r="AF310" s="218"/>
    </row>
    <row r="311" spans="2:34" ht="15" customHeight="1" x14ac:dyDescent="0.25">
      <c r="B311" s="78" t="str">
        <f>'Eid List Entry'!B205</f>
        <v xml:space="preserve"> </v>
      </c>
      <c r="C311" s="215">
        <f>'Eid List Entry'!C205</f>
        <v>0</v>
      </c>
      <c r="D311" s="216"/>
      <c r="E311" s="216"/>
      <c r="F311" s="216"/>
      <c r="G311" s="216"/>
      <c r="H311" s="216"/>
      <c r="I311" s="216"/>
      <c r="J311" s="216"/>
      <c r="K311" s="216"/>
      <c r="L311" s="216"/>
      <c r="M311" s="216"/>
      <c r="N311" s="216"/>
      <c r="O311" s="216"/>
      <c r="P311" s="216"/>
      <c r="Q311" s="216"/>
      <c r="R311" s="216"/>
      <c r="S311" s="216"/>
      <c r="T311" s="216"/>
      <c r="U311" s="216"/>
      <c r="V311" s="216"/>
      <c r="W311" s="216"/>
      <c r="X311" s="216"/>
      <c r="Y311" s="21">
        <f>'Eid List Entry'!E205</f>
        <v>0</v>
      </c>
      <c r="Z311" s="104">
        <f>'Eid List Entry'!D205</f>
        <v>0</v>
      </c>
      <c r="AA311" s="81"/>
      <c r="AB311" s="82"/>
      <c r="AC311" s="220"/>
      <c r="AD311" s="221"/>
      <c r="AE311" s="222"/>
      <c r="AF311" s="223"/>
    </row>
    <row r="312" spans="2:34" ht="15" customHeight="1" x14ac:dyDescent="0.25">
      <c r="B312" s="78" t="str">
        <f>'Eid List Entry'!B206</f>
        <v xml:space="preserve"> </v>
      </c>
      <c r="C312" s="215">
        <f>'Eid List Entry'!C206</f>
        <v>0</v>
      </c>
      <c r="D312" s="216"/>
      <c r="E312" s="216"/>
      <c r="F312" s="216"/>
      <c r="G312" s="216"/>
      <c r="H312" s="216"/>
      <c r="I312" s="216"/>
      <c r="J312" s="216"/>
      <c r="K312" s="216"/>
      <c r="L312" s="216"/>
      <c r="M312" s="216"/>
      <c r="N312" s="216"/>
      <c r="O312" s="216"/>
      <c r="P312" s="216"/>
      <c r="Q312" s="216"/>
      <c r="R312" s="216"/>
      <c r="S312" s="216"/>
      <c r="T312" s="216"/>
      <c r="U312" s="216"/>
      <c r="V312" s="216"/>
      <c r="W312" s="216"/>
      <c r="X312" s="216"/>
      <c r="Y312" s="21">
        <f>'Eid List Entry'!E206</f>
        <v>0</v>
      </c>
      <c r="Z312" s="104">
        <f>'Eid List Entry'!D206</f>
        <v>0</v>
      </c>
      <c r="AA312" s="128"/>
      <c r="AB312" s="82"/>
      <c r="AC312" s="217"/>
      <c r="AD312" s="218"/>
      <c r="AE312" s="219"/>
      <c r="AF312" s="218"/>
    </row>
    <row r="313" spans="2:34" ht="15" customHeight="1" x14ac:dyDescent="0.25">
      <c r="B313" s="78" t="str">
        <f>'Eid List Entry'!B207</f>
        <v xml:space="preserve"> </v>
      </c>
      <c r="C313" s="215">
        <f>'Eid List Entry'!C207</f>
        <v>0</v>
      </c>
      <c r="D313" s="216"/>
      <c r="E313" s="216"/>
      <c r="F313" s="216"/>
      <c r="G313" s="216"/>
      <c r="H313" s="216"/>
      <c r="I313" s="216"/>
      <c r="J313" s="216"/>
      <c r="K313" s="216"/>
      <c r="L313" s="216"/>
      <c r="M313" s="216"/>
      <c r="N313" s="216"/>
      <c r="O313" s="216"/>
      <c r="P313" s="216"/>
      <c r="Q313" s="216"/>
      <c r="R313" s="216"/>
      <c r="S313" s="216"/>
      <c r="T313" s="216"/>
      <c r="U313" s="216"/>
      <c r="V313" s="216"/>
      <c r="W313" s="216"/>
      <c r="X313" s="216"/>
      <c r="Y313" s="21">
        <f>'Eid List Entry'!E207</f>
        <v>0</v>
      </c>
      <c r="Z313" s="104">
        <f>'Eid List Entry'!D207</f>
        <v>0</v>
      </c>
      <c r="AA313" s="128"/>
      <c r="AB313" s="76"/>
      <c r="AC313" s="217"/>
      <c r="AD313" s="218"/>
      <c r="AE313" s="219"/>
      <c r="AF313" s="218"/>
    </row>
    <row r="314" spans="2:34" ht="15" customHeight="1" x14ac:dyDescent="0.25">
      <c r="B314" s="78" t="str">
        <f>'Eid List Entry'!B208</f>
        <v xml:space="preserve"> </v>
      </c>
      <c r="C314" s="215">
        <f>'Eid List Entry'!C208</f>
        <v>0</v>
      </c>
      <c r="D314" s="216"/>
      <c r="E314" s="216"/>
      <c r="F314" s="216"/>
      <c r="G314" s="216"/>
      <c r="H314" s="216"/>
      <c r="I314" s="216"/>
      <c r="J314" s="216"/>
      <c r="K314" s="216"/>
      <c r="L314" s="216"/>
      <c r="M314" s="216"/>
      <c r="N314" s="216"/>
      <c r="O314" s="216"/>
      <c r="P314" s="216"/>
      <c r="Q314" s="216"/>
      <c r="R314" s="216"/>
      <c r="S314" s="216"/>
      <c r="T314" s="216"/>
      <c r="U314" s="216"/>
      <c r="V314" s="216"/>
      <c r="W314" s="216"/>
      <c r="X314" s="216"/>
      <c r="Y314" s="21">
        <f>'Eid List Entry'!E208</f>
        <v>0</v>
      </c>
      <c r="Z314" s="104">
        <f>'Eid List Entry'!D208</f>
        <v>0</v>
      </c>
      <c r="AA314" s="128"/>
      <c r="AB314" s="76"/>
      <c r="AC314" s="217"/>
      <c r="AD314" s="218"/>
      <c r="AE314" s="219"/>
      <c r="AF314" s="218"/>
    </row>
    <row r="315" spans="2:34" ht="15" customHeight="1" x14ac:dyDescent="0.25">
      <c r="B315" s="78" t="str">
        <f>'Eid List Entry'!B209</f>
        <v xml:space="preserve"> </v>
      </c>
      <c r="C315" s="215">
        <f>'Eid List Entry'!C209</f>
        <v>0</v>
      </c>
      <c r="D315" s="216"/>
      <c r="E315" s="216"/>
      <c r="F315" s="216"/>
      <c r="G315" s="216"/>
      <c r="H315" s="216"/>
      <c r="I315" s="216"/>
      <c r="J315" s="216"/>
      <c r="K315" s="216"/>
      <c r="L315" s="216"/>
      <c r="M315" s="216"/>
      <c r="N315" s="216"/>
      <c r="O315" s="216"/>
      <c r="P315" s="216"/>
      <c r="Q315" s="216"/>
      <c r="R315" s="216"/>
      <c r="S315" s="216"/>
      <c r="T315" s="216"/>
      <c r="U315" s="216"/>
      <c r="V315" s="216"/>
      <c r="W315" s="216"/>
      <c r="X315" s="216"/>
      <c r="Y315" s="21">
        <f>'Eid List Entry'!E209</f>
        <v>0</v>
      </c>
      <c r="Z315" s="104">
        <f>'Eid List Entry'!D209</f>
        <v>0</v>
      </c>
      <c r="AA315" s="128"/>
      <c r="AB315" s="76"/>
      <c r="AC315" s="217"/>
      <c r="AD315" s="218"/>
      <c r="AE315" s="219"/>
      <c r="AF315" s="218"/>
    </row>
    <row r="316" spans="2:34" ht="15" customHeight="1" x14ac:dyDescent="0.25">
      <c r="B316" s="78" t="str">
        <f>'Eid List Entry'!B210</f>
        <v xml:space="preserve"> </v>
      </c>
      <c r="C316" s="215">
        <f>'Eid List Entry'!C210</f>
        <v>0</v>
      </c>
      <c r="D316" s="216"/>
      <c r="E316" s="216"/>
      <c r="F316" s="216"/>
      <c r="G316" s="216"/>
      <c r="H316" s="216"/>
      <c r="I316" s="216"/>
      <c r="J316" s="216"/>
      <c r="K316" s="216"/>
      <c r="L316" s="216"/>
      <c r="M316" s="216"/>
      <c r="N316" s="216"/>
      <c r="O316" s="216"/>
      <c r="P316" s="216"/>
      <c r="Q316" s="216"/>
      <c r="R316" s="216"/>
      <c r="S316" s="216"/>
      <c r="T316" s="216"/>
      <c r="U316" s="216"/>
      <c r="V316" s="216"/>
      <c r="W316" s="216"/>
      <c r="X316" s="216"/>
      <c r="Y316" s="21">
        <f>'Eid List Entry'!E210</f>
        <v>0</v>
      </c>
      <c r="Z316" s="104">
        <f>'Eid List Entry'!D210</f>
        <v>0</v>
      </c>
      <c r="AA316" s="128"/>
      <c r="AB316" s="76"/>
      <c r="AC316" s="217"/>
      <c r="AD316" s="218"/>
      <c r="AE316" s="219"/>
      <c r="AF316" s="218"/>
    </row>
    <row r="317" spans="2:34" ht="15" customHeight="1" x14ac:dyDescent="0.25">
      <c r="B317" s="78" t="str">
        <f>'Eid List Entry'!B211</f>
        <v xml:space="preserve"> </v>
      </c>
      <c r="C317" s="215">
        <f>'Eid List Entry'!C211</f>
        <v>0</v>
      </c>
      <c r="D317" s="216"/>
      <c r="E317" s="216"/>
      <c r="F317" s="216"/>
      <c r="G317" s="216"/>
      <c r="H317" s="216"/>
      <c r="I317" s="216"/>
      <c r="J317" s="216"/>
      <c r="K317" s="216"/>
      <c r="L317" s="216"/>
      <c r="M317" s="216"/>
      <c r="N317" s="216"/>
      <c r="O317" s="216"/>
      <c r="P317" s="216"/>
      <c r="Q317" s="216"/>
      <c r="R317" s="216"/>
      <c r="S317" s="216"/>
      <c r="T317" s="216"/>
      <c r="U317" s="216"/>
      <c r="V317" s="216"/>
      <c r="W317" s="216"/>
      <c r="X317" s="216"/>
      <c r="Y317" s="21">
        <f>'Eid List Entry'!E211</f>
        <v>0</v>
      </c>
      <c r="Z317" s="104">
        <f>'Eid List Entry'!D211</f>
        <v>0</v>
      </c>
      <c r="AA317" s="128"/>
      <c r="AB317" s="76"/>
      <c r="AC317" s="217"/>
      <c r="AD317" s="218"/>
      <c r="AE317" s="219"/>
      <c r="AF317" s="218"/>
    </row>
    <row r="318" spans="2:34" ht="15" customHeight="1" x14ac:dyDescent="0.25">
      <c r="B318" s="78" t="str">
        <f>'Eid List Entry'!B212</f>
        <v xml:space="preserve"> </v>
      </c>
      <c r="C318" s="215">
        <f>'Eid List Entry'!C212</f>
        <v>0</v>
      </c>
      <c r="D318" s="216"/>
      <c r="E318" s="216"/>
      <c r="F318" s="216"/>
      <c r="G318" s="216"/>
      <c r="H318" s="216"/>
      <c r="I318" s="216"/>
      <c r="J318" s="216"/>
      <c r="K318" s="216"/>
      <c r="L318" s="216"/>
      <c r="M318" s="216"/>
      <c r="N318" s="216"/>
      <c r="O318" s="216"/>
      <c r="P318" s="216"/>
      <c r="Q318" s="216"/>
      <c r="R318" s="216"/>
      <c r="S318" s="216"/>
      <c r="T318" s="216"/>
      <c r="U318" s="216"/>
      <c r="V318" s="216"/>
      <c r="W318" s="216"/>
      <c r="X318" s="216"/>
      <c r="Y318" s="21">
        <f>'Eid List Entry'!E212</f>
        <v>0</v>
      </c>
      <c r="Z318" s="104">
        <f>'Eid List Entry'!D212</f>
        <v>0</v>
      </c>
      <c r="AA318" s="128"/>
      <c r="AB318" s="76"/>
      <c r="AC318" s="217"/>
      <c r="AD318" s="218"/>
      <c r="AE318" s="219"/>
      <c r="AF318" s="218"/>
    </row>
    <row r="319" spans="2:34" ht="15" customHeight="1" x14ac:dyDescent="0.25">
      <c r="B319" s="78" t="str">
        <f>'Eid List Entry'!B213</f>
        <v xml:space="preserve"> </v>
      </c>
      <c r="C319" s="215">
        <f>'Eid List Entry'!C213</f>
        <v>0</v>
      </c>
      <c r="D319" s="216"/>
      <c r="E319" s="216"/>
      <c r="F319" s="216"/>
      <c r="G319" s="216"/>
      <c r="H319" s="216"/>
      <c r="I319" s="216"/>
      <c r="J319" s="216"/>
      <c r="K319" s="216"/>
      <c r="L319" s="216"/>
      <c r="M319" s="216"/>
      <c r="N319" s="216"/>
      <c r="O319" s="216"/>
      <c r="P319" s="216"/>
      <c r="Q319" s="216"/>
      <c r="R319" s="216"/>
      <c r="S319" s="216"/>
      <c r="T319" s="216"/>
      <c r="U319" s="216"/>
      <c r="V319" s="216"/>
      <c r="W319" s="216"/>
      <c r="X319" s="216"/>
      <c r="Y319" s="21">
        <f>'Eid List Entry'!E213</f>
        <v>0</v>
      </c>
      <c r="Z319" s="104">
        <f>'Eid List Entry'!D213</f>
        <v>0</v>
      </c>
      <c r="AA319" s="128"/>
      <c r="AB319" s="76"/>
      <c r="AC319" s="217"/>
      <c r="AD319" s="218"/>
      <c r="AE319" s="219"/>
      <c r="AF319" s="218"/>
    </row>
    <row r="320" spans="2:34" ht="0.75" customHeight="1" x14ac:dyDescent="0.25">
      <c r="B320" s="23" t="s">
        <v>70</v>
      </c>
      <c r="C320" s="26" t="s">
        <v>70</v>
      </c>
      <c r="D320" s="26"/>
      <c r="E320" s="26"/>
      <c r="F320" s="26"/>
      <c r="G320" s="26"/>
      <c r="H320" s="26"/>
      <c r="I320" s="26"/>
      <c r="J320" s="26"/>
      <c r="K320" s="26"/>
      <c r="L320" s="26"/>
      <c r="M320" s="26"/>
      <c r="N320" s="26"/>
      <c r="O320" s="26"/>
      <c r="P320" s="26"/>
      <c r="Q320" s="26"/>
      <c r="R320" s="26"/>
      <c r="S320" s="26"/>
      <c r="T320" s="26"/>
      <c r="U320" s="26"/>
      <c r="V320" s="26"/>
      <c r="W320" s="26"/>
      <c r="X320" s="26"/>
      <c r="Y320" s="21">
        <f>'Eid List Entry'!E214</f>
        <v>0</v>
      </c>
      <c r="Z320" s="25" t="s">
        <v>70</v>
      </c>
      <c r="AA320" s="10"/>
      <c r="AB320" s="10"/>
      <c r="AC320" s="9"/>
      <c r="AD320" s="9"/>
      <c r="AE320" s="9"/>
      <c r="AF320" s="9"/>
      <c r="AG320" s="7"/>
      <c r="AH320" s="7"/>
    </row>
    <row r="321" spans="2:32" ht="78" customHeight="1" x14ac:dyDescent="0.25">
      <c r="B321" s="12"/>
      <c r="C321" s="12"/>
      <c r="D321" s="12"/>
      <c r="E321" s="12"/>
      <c r="F321" s="12"/>
      <c r="G321" s="12"/>
      <c r="H321" s="12"/>
      <c r="I321" s="12"/>
      <c r="J321" s="12"/>
      <c r="K321" s="12"/>
      <c r="L321" s="12"/>
      <c r="M321" s="12"/>
      <c r="N321" s="12"/>
      <c r="O321" s="12"/>
      <c r="P321" s="12"/>
    </row>
    <row r="322" spans="2:32" ht="18" customHeight="1" x14ac:dyDescent="0.25">
      <c r="B322" s="160" t="s">
        <v>0</v>
      </c>
      <c r="C322" s="249" t="s">
        <v>9</v>
      </c>
      <c r="D322" s="250"/>
      <c r="E322" s="251">
        <f>E293</f>
        <v>1594</v>
      </c>
      <c r="F322" s="252"/>
      <c r="G322" s="252"/>
      <c r="H322" s="252"/>
      <c r="I322" s="252"/>
      <c r="J322" s="252"/>
      <c r="K322" s="252"/>
      <c r="L322" s="252"/>
      <c r="M322" s="252"/>
      <c r="N322" s="252"/>
      <c r="O322" s="252"/>
      <c r="P322" s="252"/>
      <c r="Q322" s="252"/>
      <c r="R322" s="252"/>
      <c r="S322" s="252"/>
      <c r="T322" s="252"/>
      <c r="U322" s="252"/>
      <c r="V322" s="252"/>
      <c r="W322" s="252"/>
      <c r="X322" s="252"/>
      <c r="Y322" s="252"/>
      <c r="Z322" s="253" t="s">
        <v>10</v>
      </c>
      <c r="AA322" s="254"/>
      <c r="AB322" s="259" t="s">
        <v>11</v>
      </c>
      <c r="AC322" s="260"/>
      <c r="AD322" s="261"/>
      <c r="AE322" s="268" t="s">
        <v>12</v>
      </c>
      <c r="AF322" s="269"/>
    </row>
    <row r="323" spans="2:32" ht="18" customHeight="1" x14ac:dyDescent="0.25">
      <c r="B323" s="161">
        <f ca="1">B294</f>
        <v>44621</v>
      </c>
      <c r="C323" s="274" t="s">
        <v>13</v>
      </c>
      <c r="D323" s="274"/>
      <c r="E323" s="274"/>
      <c r="F323" s="274"/>
      <c r="G323" s="274"/>
      <c r="H323" s="274"/>
      <c r="I323" s="274"/>
      <c r="J323" s="274"/>
      <c r="K323" s="274"/>
      <c r="L323" s="275">
        <f>L294</f>
        <v>0</v>
      </c>
      <c r="M323" s="275"/>
      <c r="N323" s="275"/>
      <c r="O323" s="275"/>
      <c r="P323" s="275"/>
      <c r="Q323" s="275"/>
      <c r="R323" s="275"/>
      <c r="S323" s="275"/>
      <c r="T323" s="275"/>
      <c r="U323" s="275"/>
      <c r="V323" s="275"/>
      <c r="W323" s="275"/>
      <c r="X323" s="275"/>
      <c r="Y323" s="275"/>
      <c r="Z323" s="255"/>
      <c r="AA323" s="256"/>
      <c r="AB323" s="262"/>
      <c r="AC323" s="263"/>
      <c r="AD323" s="264"/>
      <c r="AE323" s="270"/>
      <c r="AF323" s="271"/>
    </row>
    <row r="324" spans="2:32" ht="18" customHeight="1" x14ac:dyDescent="0.25">
      <c r="B324" s="159" t="s">
        <v>14</v>
      </c>
      <c r="C324" s="276" t="s">
        <v>15</v>
      </c>
      <c r="D324" s="277"/>
      <c r="E324" s="277"/>
      <c r="F324" s="278"/>
      <c r="G324" s="278">
        <f>G295</f>
        <v>0</v>
      </c>
      <c r="H324" s="278"/>
      <c r="I324" s="278"/>
      <c r="J324" s="278"/>
      <c r="K324" s="278"/>
      <c r="L324" s="278"/>
      <c r="M324" s="278"/>
      <c r="N324" s="278"/>
      <c r="O324" s="278"/>
      <c r="P324" s="278"/>
      <c r="Q324" s="278"/>
      <c r="R324" s="278"/>
      <c r="S324" s="278"/>
      <c r="T324" s="278"/>
      <c r="U324" s="278"/>
      <c r="V324" s="278"/>
      <c r="W324" s="278"/>
      <c r="X324" s="278"/>
      <c r="Y324" s="279"/>
      <c r="Z324" s="257"/>
      <c r="AA324" s="258"/>
      <c r="AB324" s="265"/>
      <c r="AC324" s="266"/>
      <c r="AD324" s="267"/>
      <c r="AE324" s="272"/>
      <c r="AF324" s="273"/>
    </row>
    <row r="325" spans="2:32" ht="18.75" customHeight="1" x14ac:dyDescent="0.25">
      <c r="B325" s="321" t="str">
        <f>_xlfn.CONCAT("12"," ","of"," ",IF(ISBLANK('Eid List Entry'!C14),1,
IF(ISBLANK('Eid List Entry'!C34),2,
IF(ISBLANK('Eid List Entry'!C54),3,
IF(ISBLANK('Eid List Entry'!C74),4,
IF(ISBLANK('Eid List Entry'!C94),5,
IF(ISBLANK('Eid List Entry'!C114),6,
IF(ISBLANK('Eid List Entry'!C134),7,
IF(ISBLANK('Eid List Entry'!C154),8,
IF(ISBLANK('Eid List Entry'!C174),9,
IF(ISBLANK('Eid List Entry'!C194),10,
IF(ISBLANK('Eid List Entry'!C214),11,
IF(ISBLANK('Eid List Entry'!C234),12,
IF(ISBLANK('Eid List Entry'!C254),13))))))))))))))</f>
        <v>12 of 1</v>
      </c>
      <c r="C325" s="226"/>
      <c r="D325" s="227"/>
      <c r="E325" s="227"/>
      <c r="F325" s="227"/>
      <c r="G325" s="227"/>
      <c r="H325" s="227"/>
      <c r="I325" s="227"/>
      <c r="J325" s="227"/>
      <c r="K325" s="227"/>
      <c r="L325" s="227"/>
      <c r="M325" s="227"/>
      <c r="N325" s="227"/>
      <c r="O325" s="227"/>
      <c r="P325" s="227"/>
      <c r="Q325" s="227"/>
      <c r="R325" s="227"/>
      <c r="S325" s="227"/>
      <c r="T325" s="227"/>
      <c r="U325" s="227"/>
      <c r="V325" s="227"/>
      <c r="W325" s="227"/>
      <c r="X325" s="227"/>
      <c r="Y325" s="228"/>
      <c r="Z325" s="232" t="s">
        <v>7</v>
      </c>
      <c r="AA325" s="234" t="s">
        <v>1</v>
      </c>
      <c r="AB325" s="236" t="s">
        <v>21</v>
      </c>
      <c r="AC325" s="237"/>
      <c r="AD325" s="232"/>
      <c r="AE325" s="236" t="s">
        <v>39</v>
      </c>
      <c r="AF325" s="232"/>
    </row>
    <row r="326" spans="2:32" ht="17.25" customHeight="1" x14ac:dyDescent="0.25">
      <c r="B326" s="321"/>
      <c r="C326" s="229"/>
      <c r="D326" s="230"/>
      <c r="E326" s="230"/>
      <c r="F326" s="230"/>
      <c r="G326" s="230"/>
      <c r="H326" s="230"/>
      <c r="I326" s="230"/>
      <c r="J326" s="230"/>
      <c r="K326" s="230"/>
      <c r="L326" s="230"/>
      <c r="M326" s="230"/>
      <c r="N326" s="230"/>
      <c r="O326" s="230"/>
      <c r="P326" s="230"/>
      <c r="Q326" s="230"/>
      <c r="R326" s="230"/>
      <c r="S326" s="230"/>
      <c r="T326" s="230"/>
      <c r="U326" s="230"/>
      <c r="V326" s="230"/>
      <c r="W326" s="230"/>
      <c r="X326" s="230"/>
      <c r="Y326" s="231"/>
      <c r="Z326" s="233"/>
      <c r="AA326" s="234"/>
      <c r="AB326" s="238"/>
      <c r="AC326" s="239"/>
      <c r="AD326" s="233"/>
      <c r="AE326" s="238"/>
      <c r="AF326" s="233"/>
    </row>
    <row r="327" spans="2:32" ht="17.25" customHeight="1" x14ac:dyDescent="0.25">
      <c r="B327" s="322"/>
      <c r="C327" s="243" t="s">
        <v>3</v>
      </c>
      <c r="D327" s="222"/>
      <c r="E327" s="222"/>
      <c r="F327" s="222"/>
      <c r="G327" s="243">
        <f>G298</f>
        <v>0</v>
      </c>
      <c r="H327" s="222"/>
      <c r="I327" s="222"/>
      <c r="J327" s="222"/>
      <c r="K327" s="222"/>
      <c r="L327" s="121"/>
      <c r="M327" s="121"/>
      <c r="N327" s="121"/>
      <c r="O327" s="121"/>
      <c r="P327" s="121"/>
      <c r="Q327" s="121"/>
      <c r="R327" s="121"/>
      <c r="S327" s="121"/>
      <c r="T327" s="121"/>
      <c r="U327" s="121"/>
      <c r="V327" s="121"/>
      <c r="W327" s="121"/>
      <c r="X327" s="121"/>
      <c r="Y327" s="121"/>
      <c r="Z327" s="234"/>
      <c r="AA327" s="235"/>
      <c r="AB327" s="240"/>
      <c r="AC327" s="241"/>
      <c r="AD327" s="242"/>
      <c r="AE327" s="238"/>
      <c r="AF327" s="233"/>
    </row>
    <row r="328" spans="2:32" ht="33.75" customHeight="1" x14ac:dyDescent="0.25">
      <c r="B328" s="68" t="s">
        <v>2</v>
      </c>
      <c r="C328" s="244" t="str">
        <f>C298</f>
        <v xml:space="preserve">Lock Box # </v>
      </c>
      <c r="D328" s="244"/>
      <c r="E328" s="244"/>
      <c r="F328" s="244"/>
      <c r="G328" s="244"/>
      <c r="H328" s="244"/>
      <c r="I328" s="244"/>
      <c r="J328" s="244"/>
      <c r="K328" s="244"/>
      <c r="L328" s="244"/>
      <c r="M328" s="244"/>
      <c r="N328" s="244"/>
      <c r="O328" s="244"/>
      <c r="P328" s="244"/>
      <c r="Q328" s="244"/>
      <c r="R328" s="244"/>
      <c r="S328" s="244"/>
      <c r="T328" s="244"/>
      <c r="U328" s="244"/>
      <c r="V328" s="244"/>
      <c r="W328" s="244"/>
      <c r="X328" s="244"/>
      <c r="Y328" s="80" t="s">
        <v>28</v>
      </c>
      <c r="Z328" s="235"/>
      <c r="AA328" s="79" t="s">
        <v>73</v>
      </c>
      <c r="AB328" s="79" t="s">
        <v>73</v>
      </c>
      <c r="AC328" s="245" t="s">
        <v>73</v>
      </c>
      <c r="AD328" s="246"/>
      <c r="AE328" s="240"/>
      <c r="AF328" s="242"/>
    </row>
    <row r="329" spans="2:32" ht="15" customHeight="1" x14ac:dyDescent="0.25">
      <c r="B329" s="78" t="str">
        <f>'Eid List Entry'!B214</f>
        <v xml:space="preserve"> </v>
      </c>
      <c r="C329" s="215">
        <f>'Eid List Entry'!C214</f>
        <v>0</v>
      </c>
      <c r="D329" s="216"/>
      <c r="E329" s="216"/>
      <c r="F329" s="216"/>
      <c r="G329" s="216"/>
      <c r="H329" s="216"/>
      <c r="I329" s="216"/>
      <c r="J329" s="216"/>
      <c r="K329" s="216"/>
      <c r="L329" s="216"/>
      <c r="M329" s="216"/>
      <c r="N329" s="216"/>
      <c r="O329" s="216"/>
      <c r="P329" s="216"/>
      <c r="Q329" s="216"/>
      <c r="R329" s="216"/>
      <c r="S329" s="216"/>
      <c r="T329" s="216"/>
      <c r="U329" s="216"/>
      <c r="V329" s="216"/>
      <c r="W329" s="216"/>
      <c r="X329" s="216"/>
      <c r="Y329" s="21">
        <f>'Eid List Entry'!E214</f>
        <v>0</v>
      </c>
      <c r="Z329" s="104">
        <f>'Eid List Entry'!D214</f>
        <v>0</v>
      </c>
      <c r="AA329" s="128"/>
      <c r="AB329" s="76"/>
      <c r="AC329" s="217"/>
      <c r="AD329" s="218"/>
      <c r="AE329" s="224"/>
      <c r="AF329" s="225"/>
    </row>
    <row r="330" spans="2:32" ht="15" customHeight="1" x14ac:dyDescent="0.25">
      <c r="B330" s="78" t="str">
        <f>'Eid List Entry'!B215</f>
        <v xml:space="preserve"> </v>
      </c>
      <c r="C330" s="215">
        <f>'Eid List Entry'!C215</f>
        <v>0</v>
      </c>
      <c r="D330" s="216"/>
      <c r="E330" s="216"/>
      <c r="F330" s="216"/>
      <c r="G330" s="216"/>
      <c r="H330" s="216"/>
      <c r="I330" s="216"/>
      <c r="J330" s="216"/>
      <c r="K330" s="216"/>
      <c r="L330" s="216"/>
      <c r="M330" s="216"/>
      <c r="N330" s="216"/>
      <c r="O330" s="216"/>
      <c r="P330" s="216"/>
      <c r="Q330" s="216"/>
      <c r="R330" s="216"/>
      <c r="S330" s="216"/>
      <c r="T330" s="216"/>
      <c r="U330" s="216"/>
      <c r="V330" s="216"/>
      <c r="W330" s="216"/>
      <c r="X330" s="216"/>
      <c r="Y330" s="21">
        <f>'Eid List Entry'!E215</f>
        <v>0</v>
      </c>
      <c r="Z330" s="104">
        <f>'Eid List Entry'!D215</f>
        <v>0</v>
      </c>
      <c r="AA330" s="128"/>
      <c r="AB330" s="76"/>
      <c r="AC330" s="217"/>
      <c r="AD330" s="218"/>
      <c r="AE330" s="219"/>
      <c r="AF330" s="218"/>
    </row>
    <row r="331" spans="2:32" ht="15" customHeight="1" x14ac:dyDescent="0.25">
      <c r="B331" s="78" t="str">
        <f>'Eid List Entry'!B216</f>
        <v xml:space="preserve"> </v>
      </c>
      <c r="C331" s="215">
        <f>'Eid List Entry'!C216</f>
        <v>0</v>
      </c>
      <c r="D331" s="216"/>
      <c r="E331" s="216"/>
      <c r="F331" s="216"/>
      <c r="G331" s="216"/>
      <c r="H331" s="216"/>
      <c r="I331" s="216"/>
      <c r="J331" s="216"/>
      <c r="K331" s="216"/>
      <c r="L331" s="216"/>
      <c r="M331" s="216"/>
      <c r="N331" s="216"/>
      <c r="O331" s="216"/>
      <c r="P331" s="216"/>
      <c r="Q331" s="216"/>
      <c r="R331" s="216"/>
      <c r="S331" s="216"/>
      <c r="T331" s="216"/>
      <c r="U331" s="216"/>
      <c r="V331" s="216"/>
      <c r="W331" s="216"/>
      <c r="X331" s="216"/>
      <c r="Y331" s="21">
        <f>'Eid List Entry'!E216</f>
        <v>0</v>
      </c>
      <c r="Z331" s="104">
        <f>'Eid List Entry'!D216</f>
        <v>0</v>
      </c>
      <c r="AA331" s="128"/>
      <c r="AB331" s="76"/>
      <c r="AC331" s="217"/>
      <c r="AD331" s="218"/>
      <c r="AE331" s="219"/>
      <c r="AF331" s="218"/>
    </row>
    <row r="332" spans="2:32" ht="15" customHeight="1" x14ac:dyDescent="0.25">
      <c r="B332" s="78" t="str">
        <f>'Eid List Entry'!B217</f>
        <v xml:space="preserve"> </v>
      </c>
      <c r="C332" s="215">
        <f>'Eid List Entry'!C217</f>
        <v>0</v>
      </c>
      <c r="D332" s="216"/>
      <c r="E332" s="216"/>
      <c r="F332" s="216"/>
      <c r="G332" s="216"/>
      <c r="H332" s="216"/>
      <c r="I332" s="216"/>
      <c r="J332" s="216"/>
      <c r="K332" s="216"/>
      <c r="L332" s="216"/>
      <c r="M332" s="216"/>
      <c r="N332" s="216"/>
      <c r="O332" s="216"/>
      <c r="P332" s="216"/>
      <c r="Q332" s="216"/>
      <c r="R332" s="216"/>
      <c r="S332" s="216"/>
      <c r="T332" s="216"/>
      <c r="U332" s="216"/>
      <c r="V332" s="216"/>
      <c r="W332" s="216"/>
      <c r="X332" s="216"/>
      <c r="Y332" s="21">
        <f>'Eid List Entry'!E217</f>
        <v>0</v>
      </c>
      <c r="Z332" s="104">
        <f>'Eid List Entry'!D217</f>
        <v>0</v>
      </c>
      <c r="AA332" s="128"/>
      <c r="AB332" s="76"/>
      <c r="AC332" s="217"/>
      <c r="AD332" s="218"/>
      <c r="AE332" s="219"/>
      <c r="AF332" s="218"/>
    </row>
    <row r="333" spans="2:32" ht="15" customHeight="1" x14ac:dyDescent="0.25">
      <c r="B333" s="78" t="str">
        <f>'Eid List Entry'!B218</f>
        <v xml:space="preserve"> </v>
      </c>
      <c r="C333" s="215">
        <f>'Eid List Entry'!C218</f>
        <v>0</v>
      </c>
      <c r="D333" s="216"/>
      <c r="E333" s="216"/>
      <c r="F333" s="216"/>
      <c r="G333" s="216"/>
      <c r="H333" s="216"/>
      <c r="I333" s="216"/>
      <c r="J333" s="216"/>
      <c r="K333" s="216"/>
      <c r="L333" s="216"/>
      <c r="M333" s="216"/>
      <c r="N333" s="216"/>
      <c r="O333" s="216"/>
      <c r="P333" s="216"/>
      <c r="Q333" s="216"/>
      <c r="R333" s="216"/>
      <c r="S333" s="216"/>
      <c r="T333" s="216"/>
      <c r="U333" s="216"/>
      <c r="V333" s="216"/>
      <c r="W333" s="216"/>
      <c r="X333" s="216"/>
      <c r="Y333" s="21">
        <f>'Eid List Entry'!E218</f>
        <v>0</v>
      </c>
      <c r="Z333" s="104">
        <f>'Eid List Entry'!D218</f>
        <v>0</v>
      </c>
      <c r="AA333" s="128"/>
      <c r="AB333" s="76"/>
      <c r="AC333" s="217"/>
      <c r="AD333" s="218"/>
      <c r="AE333" s="219"/>
      <c r="AF333" s="218"/>
    </row>
    <row r="334" spans="2:32" ht="15" customHeight="1" x14ac:dyDescent="0.25">
      <c r="B334" s="78" t="str">
        <f>'Eid List Entry'!B219</f>
        <v xml:space="preserve"> </v>
      </c>
      <c r="C334" s="215">
        <f>'Eid List Entry'!C219</f>
        <v>0</v>
      </c>
      <c r="D334" s="216"/>
      <c r="E334" s="216"/>
      <c r="F334" s="216"/>
      <c r="G334" s="216"/>
      <c r="H334" s="216"/>
      <c r="I334" s="216"/>
      <c r="J334" s="216"/>
      <c r="K334" s="216"/>
      <c r="L334" s="216"/>
      <c r="M334" s="216"/>
      <c r="N334" s="216"/>
      <c r="O334" s="216"/>
      <c r="P334" s="216"/>
      <c r="Q334" s="216"/>
      <c r="R334" s="216"/>
      <c r="S334" s="216"/>
      <c r="T334" s="216"/>
      <c r="U334" s="216"/>
      <c r="V334" s="216"/>
      <c r="W334" s="216"/>
      <c r="X334" s="216"/>
      <c r="Y334" s="21">
        <f>'Eid List Entry'!E219</f>
        <v>0</v>
      </c>
      <c r="Z334" s="104">
        <f>'Eid List Entry'!D219</f>
        <v>0</v>
      </c>
      <c r="AA334" s="128"/>
      <c r="AB334" s="76"/>
      <c r="AC334" s="217"/>
      <c r="AD334" s="218"/>
      <c r="AE334" s="219"/>
      <c r="AF334" s="218"/>
    </row>
    <row r="335" spans="2:32" ht="15" customHeight="1" x14ac:dyDescent="0.25">
      <c r="B335" s="78" t="str">
        <f>'Eid List Entry'!B220</f>
        <v xml:space="preserve"> </v>
      </c>
      <c r="C335" s="215">
        <f>'Eid List Entry'!C220</f>
        <v>0</v>
      </c>
      <c r="D335" s="216"/>
      <c r="E335" s="216"/>
      <c r="F335" s="216"/>
      <c r="G335" s="216"/>
      <c r="H335" s="216"/>
      <c r="I335" s="216"/>
      <c r="J335" s="216"/>
      <c r="K335" s="216"/>
      <c r="L335" s="216"/>
      <c r="M335" s="216"/>
      <c r="N335" s="216"/>
      <c r="O335" s="216"/>
      <c r="P335" s="216"/>
      <c r="Q335" s="216"/>
      <c r="R335" s="216"/>
      <c r="S335" s="216"/>
      <c r="T335" s="216"/>
      <c r="U335" s="216"/>
      <c r="V335" s="216"/>
      <c r="W335" s="216"/>
      <c r="X335" s="216"/>
      <c r="Y335" s="21">
        <f>'Eid List Entry'!E220</f>
        <v>0</v>
      </c>
      <c r="Z335" s="104">
        <f>'Eid List Entry'!D220</f>
        <v>0</v>
      </c>
      <c r="AA335" s="128"/>
      <c r="AB335" s="76"/>
      <c r="AC335" s="217"/>
      <c r="AD335" s="218"/>
      <c r="AE335" s="219"/>
      <c r="AF335" s="218"/>
    </row>
    <row r="336" spans="2:32" ht="15" customHeight="1" x14ac:dyDescent="0.25">
      <c r="B336" s="78" t="str">
        <f>'Eid List Entry'!B221</f>
        <v xml:space="preserve"> </v>
      </c>
      <c r="C336" s="215">
        <f>'Eid List Entry'!C221</f>
        <v>0</v>
      </c>
      <c r="D336" s="216"/>
      <c r="E336" s="216"/>
      <c r="F336" s="216"/>
      <c r="G336" s="216"/>
      <c r="H336" s="216"/>
      <c r="I336" s="216"/>
      <c r="J336" s="216"/>
      <c r="K336" s="216"/>
      <c r="L336" s="216"/>
      <c r="M336" s="216"/>
      <c r="N336" s="216"/>
      <c r="O336" s="216"/>
      <c r="P336" s="216"/>
      <c r="Q336" s="216"/>
      <c r="R336" s="216"/>
      <c r="S336" s="216"/>
      <c r="T336" s="216"/>
      <c r="U336" s="216"/>
      <c r="V336" s="216"/>
      <c r="W336" s="216"/>
      <c r="X336" s="216"/>
      <c r="Y336" s="21">
        <f>'Eid List Entry'!E221</f>
        <v>0</v>
      </c>
      <c r="Z336" s="104">
        <f>'Eid List Entry'!D221</f>
        <v>0</v>
      </c>
      <c r="AA336" s="128"/>
      <c r="AB336" s="76"/>
      <c r="AC336" s="217"/>
      <c r="AD336" s="218"/>
      <c r="AE336" s="219"/>
      <c r="AF336" s="218"/>
    </row>
    <row r="337" spans="2:32" ht="15" customHeight="1" x14ac:dyDescent="0.25">
      <c r="B337" s="78" t="str">
        <f>'Eid List Entry'!B222</f>
        <v xml:space="preserve"> </v>
      </c>
      <c r="C337" s="215">
        <f>'Eid List Entry'!C222</f>
        <v>0</v>
      </c>
      <c r="D337" s="216"/>
      <c r="E337" s="216"/>
      <c r="F337" s="216"/>
      <c r="G337" s="216"/>
      <c r="H337" s="216"/>
      <c r="I337" s="216"/>
      <c r="J337" s="216"/>
      <c r="K337" s="216"/>
      <c r="L337" s="216"/>
      <c r="M337" s="216"/>
      <c r="N337" s="216"/>
      <c r="O337" s="216"/>
      <c r="P337" s="216"/>
      <c r="Q337" s="216"/>
      <c r="R337" s="216"/>
      <c r="S337" s="216"/>
      <c r="T337" s="216"/>
      <c r="U337" s="216"/>
      <c r="V337" s="216"/>
      <c r="W337" s="216"/>
      <c r="X337" s="216"/>
      <c r="Y337" s="21">
        <f>'Eid List Entry'!E222</f>
        <v>0</v>
      </c>
      <c r="Z337" s="104">
        <f>'Eid List Entry'!D222</f>
        <v>0</v>
      </c>
      <c r="AA337" s="128"/>
      <c r="AB337" s="76"/>
      <c r="AC337" s="217"/>
      <c r="AD337" s="218"/>
      <c r="AE337" s="219"/>
      <c r="AF337" s="218"/>
    </row>
    <row r="338" spans="2:32" ht="15" customHeight="1" x14ac:dyDescent="0.25">
      <c r="B338" s="78" t="str">
        <f>'Eid List Entry'!B223</f>
        <v xml:space="preserve"> </v>
      </c>
      <c r="C338" s="215">
        <f>'Eid List Entry'!C223</f>
        <v>0</v>
      </c>
      <c r="D338" s="216"/>
      <c r="E338" s="216"/>
      <c r="F338" s="216"/>
      <c r="G338" s="216"/>
      <c r="H338" s="216"/>
      <c r="I338" s="216"/>
      <c r="J338" s="216"/>
      <c r="K338" s="216"/>
      <c r="L338" s="216"/>
      <c r="M338" s="216"/>
      <c r="N338" s="216"/>
      <c r="O338" s="216"/>
      <c r="P338" s="216"/>
      <c r="Q338" s="216"/>
      <c r="R338" s="216"/>
      <c r="S338" s="216"/>
      <c r="T338" s="216"/>
      <c r="U338" s="216"/>
      <c r="V338" s="216"/>
      <c r="W338" s="216"/>
      <c r="X338" s="216"/>
      <c r="Y338" s="21">
        <f>'Eid List Entry'!E223</f>
        <v>0</v>
      </c>
      <c r="Z338" s="104">
        <f>'Eid List Entry'!D223</f>
        <v>0</v>
      </c>
      <c r="AA338" s="128"/>
      <c r="AB338" s="76"/>
      <c r="AC338" s="217"/>
      <c r="AD338" s="218"/>
      <c r="AE338" s="219"/>
      <c r="AF338" s="218"/>
    </row>
    <row r="339" spans="2:32" ht="15" customHeight="1" x14ac:dyDescent="0.25">
      <c r="B339" s="78" t="str">
        <f>'Eid List Entry'!B224</f>
        <v xml:space="preserve"> </v>
      </c>
      <c r="C339" s="215">
        <f>'Eid List Entry'!C224</f>
        <v>0</v>
      </c>
      <c r="D339" s="216"/>
      <c r="E339" s="216"/>
      <c r="F339" s="216"/>
      <c r="G339" s="216"/>
      <c r="H339" s="216"/>
      <c r="I339" s="216"/>
      <c r="J339" s="216"/>
      <c r="K339" s="216"/>
      <c r="L339" s="216"/>
      <c r="M339" s="216"/>
      <c r="N339" s="216"/>
      <c r="O339" s="216"/>
      <c r="P339" s="216"/>
      <c r="Q339" s="216"/>
      <c r="R339" s="216"/>
      <c r="S339" s="216"/>
      <c r="T339" s="216"/>
      <c r="U339" s="216"/>
      <c r="V339" s="216"/>
      <c r="W339" s="216"/>
      <c r="X339" s="216"/>
      <c r="Y339" s="21">
        <f>'Eid List Entry'!E224</f>
        <v>0</v>
      </c>
      <c r="Z339" s="104">
        <f>'Eid List Entry'!D224</f>
        <v>0</v>
      </c>
      <c r="AA339" s="128"/>
      <c r="AB339" s="76"/>
      <c r="AC339" s="217"/>
      <c r="AD339" s="218"/>
      <c r="AE339" s="219"/>
      <c r="AF339" s="218"/>
    </row>
    <row r="340" spans="2:32" ht="15" customHeight="1" x14ac:dyDescent="0.25">
      <c r="B340" s="78" t="str">
        <f>'Eid List Entry'!B225</f>
        <v xml:space="preserve"> </v>
      </c>
      <c r="C340" s="215">
        <f>'Eid List Entry'!C225</f>
        <v>0</v>
      </c>
      <c r="D340" s="216"/>
      <c r="E340" s="216"/>
      <c r="F340" s="216"/>
      <c r="G340" s="216"/>
      <c r="H340" s="216"/>
      <c r="I340" s="216"/>
      <c r="J340" s="216"/>
      <c r="K340" s="216"/>
      <c r="L340" s="216"/>
      <c r="M340" s="216"/>
      <c r="N340" s="216"/>
      <c r="O340" s="216"/>
      <c r="P340" s="216"/>
      <c r="Q340" s="216"/>
      <c r="R340" s="216"/>
      <c r="S340" s="216"/>
      <c r="T340" s="216"/>
      <c r="U340" s="216"/>
      <c r="V340" s="216"/>
      <c r="W340" s="216"/>
      <c r="X340" s="216"/>
      <c r="Y340" s="21">
        <f>'Eid List Entry'!E225</f>
        <v>0</v>
      </c>
      <c r="Z340" s="104">
        <f>'Eid List Entry'!D225</f>
        <v>0</v>
      </c>
      <c r="AA340" s="81"/>
      <c r="AB340" s="82"/>
      <c r="AC340" s="220"/>
      <c r="AD340" s="221"/>
      <c r="AE340" s="222"/>
      <c r="AF340" s="223"/>
    </row>
    <row r="341" spans="2:32" ht="15" customHeight="1" x14ac:dyDescent="0.25">
      <c r="B341" s="78" t="str">
        <f>'Eid List Entry'!B226</f>
        <v xml:space="preserve"> </v>
      </c>
      <c r="C341" s="215">
        <f>'Eid List Entry'!C226</f>
        <v>0</v>
      </c>
      <c r="D341" s="216"/>
      <c r="E341" s="216"/>
      <c r="F341" s="216"/>
      <c r="G341" s="216"/>
      <c r="H341" s="216"/>
      <c r="I341" s="216"/>
      <c r="J341" s="216"/>
      <c r="K341" s="216"/>
      <c r="L341" s="216"/>
      <c r="M341" s="216"/>
      <c r="N341" s="216"/>
      <c r="O341" s="216"/>
      <c r="P341" s="216"/>
      <c r="Q341" s="216"/>
      <c r="R341" s="216"/>
      <c r="S341" s="216"/>
      <c r="T341" s="216"/>
      <c r="U341" s="216"/>
      <c r="V341" s="216"/>
      <c r="W341" s="216"/>
      <c r="X341" s="216"/>
      <c r="Y341" s="21">
        <f>'Eid List Entry'!E226</f>
        <v>0</v>
      </c>
      <c r="Z341" s="104">
        <f>'Eid List Entry'!D226</f>
        <v>0</v>
      </c>
      <c r="AA341" s="128"/>
      <c r="AB341" s="82"/>
      <c r="AC341" s="217"/>
      <c r="AD341" s="218"/>
      <c r="AE341" s="219"/>
      <c r="AF341" s="218"/>
    </row>
    <row r="342" spans="2:32" ht="15" customHeight="1" x14ac:dyDescent="0.25">
      <c r="B342" s="78" t="str">
        <f>'Eid List Entry'!B227</f>
        <v xml:space="preserve"> </v>
      </c>
      <c r="C342" s="215">
        <f>'Eid List Entry'!C227</f>
        <v>0</v>
      </c>
      <c r="D342" s="216"/>
      <c r="E342" s="216"/>
      <c r="F342" s="216"/>
      <c r="G342" s="216"/>
      <c r="H342" s="216"/>
      <c r="I342" s="216"/>
      <c r="J342" s="216"/>
      <c r="K342" s="216"/>
      <c r="L342" s="216"/>
      <c r="M342" s="216"/>
      <c r="N342" s="216"/>
      <c r="O342" s="216"/>
      <c r="P342" s="216"/>
      <c r="Q342" s="216"/>
      <c r="R342" s="216"/>
      <c r="S342" s="216"/>
      <c r="T342" s="216"/>
      <c r="U342" s="216"/>
      <c r="V342" s="216"/>
      <c r="W342" s="216"/>
      <c r="X342" s="216"/>
      <c r="Y342" s="21">
        <f>'Eid List Entry'!E227</f>
        <v>0</v>
      </c>
      <c r="Z342" s="104">
        <f>'Eid List Entry'!D227</f>
        <v>0</v>
      </c>
      <c r="AA342" s="128"/>
      <c r="AB342" s="76"/>
      <c r="AC342" s="217"/>
      <c r="AD342" s="218"/>
      <c r="AE342" s="219"/>
      <c r="AF342" s="218"/>
    </row>
    <row r="343" spans="2:32" ht="15" customHeight="1" x14ac:dyDescent="0.25">
      <c r="B343" s="78" t="str">
        <f>'Eid List Entry'!B228</f>
        <v xml:space="preserve"> </v>
      </c>
      <c r="C343" s="215">
        <f>'Eid List Entry'!C228</f>
        <v>0</v>
      </c>
      <c r="D343" s="216"/>
      <c r="E343" s="216"/>
      <c r="F343" s="216"/>
      <c r="G343" s="216"/>
      <c r="H343" s="216"/>
      <c r="I343" s="216"/>
      <c r="J343" s="216"/>
      <c r="K343" s="216"/>
      <c r="L343" s="216"/>
      <c r="M343" s="216"/>
      <c r="N343" s="216"/>
      <c r="O343" s="216"/>
      <c r="P343" s="216"/>
      <c r="Q343" s="216"/>
      <c r="R343" s="216"/>
      <c r="S343" s="216"/>
      <c r="T343" s="216"/>
      <c r="U343" s="216"/>
      <c r="V343" s="216"/>
      <c r="W343" s="216"/>
      <c r="X343" s="216"/>
      <c r="Y343" s="21">
        <f>'Eid List Entry'!E228</f>
        <v>0</v>
      </c>
      <c r="Z343" s="104">
        <f>'Eid List Entry'!D228</f>
        <v>0</v>
      </c>
      <c r="AA343" s="128"/>
      <c r="AB343" s="76"/>
      <c r="AC343" s="217"/>
      <c r="AD343" s="218"/>
      <c r="AE343" s="219"/>
      <c r="AF343" s="218"/>
    </row>
    <row r="344" spans="2:32" ht="15" customHeight="1" x14ac:dyDescent="0.25">
      <c r="B344" s="78" t="str">
        <f>'Eid List Entry'!B229</f>
        <v xml:space="preserve"> </v>
      </c>
      <c r="C344" s="215">
        <f>'Eid List Entry'!C229</f>
        <v>0</v>
      </c>
      <c r="D344" s="216"/>
      <c r="E344" s="216"/>
      <c r="F344" s="216"/>
      <c r="G344" s="216"/>
      <c r="H344" s="216"/>
      <c r="I344" s="216"/>
      <c r="J344" s="216"/>
      <c r="K344" s="216"/>
      <c r="L344" s="216"/>
      <c r="M344" s="216"/>
      <c r="N344" s="216"/>
      <c r="O344" s="216"/>
      <c r="P344" s="216"/>
      <c r="Q344" s="216"/>
      <c r="R344" s="216"/>
      <c r="S344" s="216"/>
      <c r="T344" s="216"/>
      <c r="U344" s="216"/>
      <c r="V344" s="216"/>
      <c r="W344" s="216"/>
      <c r="X344" s="216"/>
      <c r="Y344" s="21">
        <f>'Eid List Entry'!E229</f>
        <v>0</v>
      </c>
      <c r="Z344" s="104">
        <f>'Eid List Entry'!D229</f>
        <v>0</v>
      </c>
      <c r="AA344" s="128"/>
      <c r="AB344" s="76"/>
      <c r="AC344" s="217"/>
      <c r="AD344" s="218"/>
      <c r="AE344" s="219"/>
      <c r="AF344" s="218"/>
    </row>
    <row r="345" spans="2:32" ht="15" customHeight="1" x14ac:dyDescent="0.25">
      <c r="B345" s="78" t="str">
        <f>'Eid List Entry'!B230</f>
        <v xml:space="preserve"> </v>
      </c>
      <c r="C345" s="215">
        <f>'Eid List Entry'!C230</f>
        <v>0</v>
      </c>
      <c r="D345" s="216"/>
      <c r="E345" s="216"/>
      <c r="F345" s="216"/>
      <c r="G345" s="216"/>
      <c r="H345" s="216"/>
      <c r="I345" s="216"/>
      <c r="J345" s="216"/>
      <c r="K345" s="216"/>
      <c r="L345" s="216"/>
      <c r="M345" s="216"/>
      <c r="N345" s="216"/>
      <c r="O345" s="216"/>
      <c r="P345" s="216"/>
      <c r="Q345" s="216"/>
      <c r="R345" s="216"/>
      <c r="S345" s="216"/>
      <c r="T345" s="216"/>
      <c r="U345" s="216"/>
      <c r="V345" s="216"/>
      <c r="W345" s="216"/>
      <c r="X345" s="216"/>
      <c r="Y345" s="21">
        <f>'Eid List Entry'!E230</f>
        <v>0</v>
      </c>
      <c r="Z345" s="104">
        <f>'Eid List Entry'!D230</f>
        <v>0</v>
      </c>
      <c r="AA345" s="128"/>
      <c r="AB345" s="76"/>
      <c r="AC345" s="217"/>
      <c r="AD345" s="218"/>
      <c r="AE345" s="219"/>
      <c r="AF345" s="218"/>
    </row>
    <row r="346" spans="2:32" ht="15" customHeight="1" x14ac:dyDescent="0.25">
      <c r="B346" s="78" t="str">
        <f>'Eid List Entry'!B231</f>
        <v xml:space="preserve"> </v>
      </c>
      <c r="C346" s="215">
        <f>'Eid List Entry'!C231</f>
        <v>0</v>
      </c>
      <c r="D346" s="216"/>
      <c r="E346" s="216"/>
      <c r="F346" s="216"/>
      <c r="G346" s="216"/>
      <c r="H346" s="216"/>
      <c r="I346" s="216"/>
      <c r="J346" s="216"/>
      <c r="K346" s="216"/>
      <c r="L346" s="216"/>
      <c r="M346" s="216"/>
      <c r="N346" s="216"/>
      <c r="O346" s="216"/>
      <c r="P346" s="216"/>
      <c r="Q346" s="216"/>
      <c r="R346" s="216"/>
      <c r="S346" s="216"/>
      <c r="T346" s="216"/>
      <c r="U346" s="216"/>
      <c r="V346" s="216"/>
      <c r="W346" s="216"/>
      <c r="X346" s="216"/>
      <c r="Y346" s="21">
        <f>'Eid List Entry'!E231</f>
        <v>0</v>
      </c>
      <c r="Z346" s="104">
        <f>'Eid List Entry'!D231</f>
        <v>0</v>
      </c>
      <c r="AA346" s="128"/>
      <c r="AB346" s="76"/>
      <c r="AC346" s="217"/>
      <c r="AD346" s="218"/>
      <c r="AE346" s="219"/>
      <c r="AF346" s="218"/>
    </row>
    <row r="347" spans="2:32" ht="15" customHeight="1" x14ac:dyDescent="0.25">
      <c r="B347" s="78" t="str">
        <f>'Eid List Entry'!B232</f>
        <v xml:space="preserve"> </v>
      </c>
      <c r="C347" s="215">
        <f>'Eid List Entry'!C232</f>
        <v>0</v>
      </c>
      <c r="D347" s="216"/>
      <c r="E347" s="216"/>
      <c r="F347" s="216"/>
      <c r="G347" s="216"/>
      <c r="H347" s="216"/>
      <c r="I347" s="216"/>
      <c r="J347" s="216"/>
      <c r="K347" s="216"/>
      <c r="L347" s="216"/>
      <c r="M347" s="216"/>
      <c r="N347" s="216"/>
      <c r="O347" s="216"/>
      <c r="P347" s="216"/>
      <c r="Q347" s="216"/>
      <c r="R347" s="216"/>
      <c r="S347" s="216"/>
      <c r="T347" s="216"/>
      <c r="U347" s="216"/>
      <c r="V347" s="216"/>
      <c r="W347" s="216"/>
      <c r="X347" s="216"/>
      <c r="Y347" s="21">
        <f>'Eid List Entry'!E232</f>
        <v>0</v>
      </c>
      <c r="Z347" s="104">
        <f>'Eid List Entry'!D232</f>
        <v>0</v>
      </c>
      <c r="AA347" s="128"/>
      <c r="AB347" s="76"/>
      <c r="AC347" s="217"/>
      <c r="AD347" s="218"/>
      <c r="AE347" s="219"/>
      <c r="AF347" s="218"/>
    </row>
    <row r="348" spans="2:32" ht="14.25" customHeight="1" x14ac:dyDescent="0.25">
      <c r="B348" s="78" t="str">
        <f>'Eid List Entry'!B233</f>
        <v xml:space="preserve"> </v>
      </c>
      <c r="C348" s="247">
        <f>'Eid List Entry'!C233</f>
        <v>0</v>
      </c>
      <c r="D348" s="247"/>
      <c r="E348" s="247"/>
      <c r="F348" s="247"/>
      <c r="G348" s="247"/>
      <c r="H348" s="247"/>
      <c r="I348" s="247"/>
      <c r="J348" s="247"/>
      <c r="K348" s="247"/>
      <c r="L348" s="247"/>
      <c r="M348" s="247"/>
      <c r="N348" s="247"/>
      <c r="O348" s="247"/>
      <c r="P348" s="247"/>
      <c r="Q348" s="247"/>
      <c r="R348" s="247"/>
      <c r="S348" s="247"/>
      <c r="T348" s="247"/>
      <c r="U348" s="247"/>
      <c r="V348" s="247"/>
      <c r="W348" s="247"/>
      <c r="X348" s="247"/>
      <c r="Y348" s="129">
        <f>'Eid List Entry'!E233</f>
        <v>0</v>
      </c>
      <c r="Z348" s="104">
        <f>'Eid List Entry'!D233</f>
        <v>0</v>
      </c>
      <c r="AA348" s="76"/>
      <c r="AB348" s="76"/>
      <c r="AC348" s="248"/>
      <c r="AD348" s="248"/>
      <c r="AE348" s="248"/>
      <c r="AF348" s="248"/>
    </row>
    <row r="349" spans="2:32" s="7" customFormat="1" ht="1.5" customHeight="1" x14ac:dyDescent="0.25">
      <c r="B349" s="23"/>
      <c r="C349" s="101"/>
      <c r="D349" s="101"/>
      <c r="E349" s="101"/>
      <c r="F349" s="101"/>
      <c r="G349" s="101"/>
      <c r="H349" s="101"/>
      <c r="I349" s="101"/>
      <c r="J349" s="101"/>
      <c r="K349" s="101"/>
      <c r="L349" s="101"/>
      <c r="M349" s="101"/>
      <c r="N349" s="101"/>
      <c r="O349" s="101"/>
      <c r="P349" s="101"/>
      <c r="Q349" s="101"/>
      <c r="R349" s="101"/>
      <c r="S349" s="101"/>
      <c r="T349" s="101"/>
      <c r="U349" s="101"/>
      <c r="V349" s="101"/>
      <c r="W349" s="101"/>
      <c r="X349" s="101"/>
      <c r="Y349" s="24"/>
      <c r="Z349" s="103">
        <f>'Eid List Entry'!D234</f>
        <v>0</v>
      </c>
      <c r="AA349" s="10"/>
      <c r="AB349" s="10"/>
      <c r="AC349" s="10"/>
      <c r="AD349" s="10"/>
      <c r="AE349" s="10"/>
      <c r="AF349" s="10"/>
    </row>
    <row r="350" spans="2:32" ht="73.5" customHeight="1" x14ac:dyDescent="0.25">
      <c r="B350" s="12"/>
      <c r="C350" s="12"/>
      <c r="D350" s="12"/>
      <c r="E350" s="12"/>
      <c r="F350" s="12"/>
      <c r="G350" s="12"/>
      <c r="H350" s="12"/>
      <c r="I350" s="12"/>
      <c r="J350" s="12"/>
      <c r="K350" s="12"/>
      <c r="L350" s="12"/>
      <c r="M350" s="12"/>
      <c r="N350" s="12"/>
      <c r="O350" s="12"/>
      <c r="P350" s="12"/>
    </row>
    <row r="351" spans="2:32" ht="18" customHeight="1" x14ac:dyDescent="0.25">
      <c r="B351" s="160" t="s">
        <v>0</v>
      </c>
      <c r="C351" s="249" t="s">
        <v>9</v>
      </c>
      <c r="D351" s="250"/>
      <c r="E351" s="251">
        <f>E322</f>
        <v>1594</v>
      </c>
      <c r="F351" s="252"/>
      <c r="G351" s="252"/>
      <c r="H351" s="252"/>
      <c r="I351" s="252"/>
      <c r="J351" s="252"/>
      <c r="K351" s="252"/>
      <c r="L351" s="252"/>
      <c r="M351" s="252"/>
      <c r="N351" s="252"/>
      <c r="O351" s="252"/>
      <c r="P351" s="252"/>
      <c r="Q351" s="252"/>
      <c r="R351" s="252"/>
      <c r="S351" s="252"/>
      <c r="T351" s="252"/>
      <c r="U351" s="252"/>
      <c r="V351" s="252"/>
      <c r="W351" s="252"/>
      <c r="X351" s="252"/>
      <c r="Y351" s="252"/>
      <c r="Z351" s="253" t="s">
        <v>10</v>
      </c>
      <c r="AA351" s="254"/>
      <c r="AB351" s="259" t="s">
        <v>11</v>
      </c>
      <c r="AC351" s="260"/>
      <c r="AD351" s="261"/>
      <c r="AE351" s="268" t="s">
        <v>12</v>
      </c>
      <c r="AF351" s="269"/>
    </row>
    <row r="352" spans="2:32" ht="18" customHeight="1" x14ac:dyDescent="0.25">
      <c r="B352" s="161">
        <f ca="1">B323</f>
        <v>44621</v>
      </c>
      <c r="C352" s="274" t="s">
        <v>13</v>
      </c>
      <c r="D352" s="274"/>
      <c r="E352" s="274"/>
      <c r="F352" s="274"/>
      <c r="G352" s="274"/>
      <c r="H352" s="274"/>
      <c r="I352" s="274"/>
      <c r="J352" s="274"/>
      <c r="K352" s="274"/>
      <c r="L352" s="275">
        <f>L323</f>
        <v>0</v>
      </c>
      <c r="M352" s="275"/>
      <c r="N352" s="275"/>
      <c r="O352" s="275"/>
      <c r="P352" s="275"/>
      <c r="Q352" s="275"/>
      <c r="R352" s="275"/>
      <c r="S352" s="275"/>
      <c r="T352" s="275"/>
      <c r="U352" s="275"/>
      <c r="V352" s="275"/>
      <c r="W352" s="275"/>
      <c r="X352" s="275"/>
      <c r="Y352" s="275"/>
      <c r="Z352" s="255"/>
      <c r="AA352" s="256"/>
      <c r="AB352" s="262"/>
      <c r="AC352" s="263"/>
      <c r="AD352" s="264"/>
      <c r="AE352" s="270"/>
      <c r="AF352" s="271"/>
    </row>
    <row r="353" spans="2:32" ht="18" customHeight="1" x14ac:dyDescent="0.25">
      <c r="B353" s="159" t="s">
        <v>14</v>
      </c>
      <c r="C353" s="276" t="s">
        <v>15</v>
      </c>
      <c r="D353" s="277"/>
      <c r="E353" s="277"/>
      <c r="F353" s="278"/>
      <c r="G353" s="278">
        <f>G324</f>
        <v>0</v>
      </c>
      <c r="H353" s="278"/>
      <c r="I353" s="278"/>
      <c r="J353" s="278"/>
      <c r="K353" s="278"/>
      <c r="L353" s="278"/>
      <c r="M353" s="278"/>
      <c r="N353" s="278"/>
      <c r="O353" s="278"/>
      <c r="P353" s="278"/>
      <c r="Q353" s="278"/>
      <c r="R353" s="278"/>
      <c r="S353" s="278"/>
      <c r="T353" s="278"/>
      <c r="U353" s="278"/>
      <c r="V353" s="278"/>
      <c r="W353" s="278"/>
      <c r="X353" s="278"/>
      <c r="Y353" s="279"/>
      <c r="Z353" s="257"/>
      <c r="AA353" s="258"/>
      <c r="AB353" s="265"/>
      <c r="AC353" s="266"/>
      <c r="AD353" s="267"/>
      <c r="AE353" s="272"/>
      <c r="AF353" s="273"/>
    </row>
    <row r="354" spans="2:32" ht="18.75" customHeight="1" x14ac:dyDescent="0.25">
      <c r="B354" s="321" t="str">
        <f>_xlfn.CONCAT("13"," ","of"," ",IF(ISBLANK('Eid List Entry'!C14),1,
IF(ISBLANK('Eid List Entry'!C34),2,
IF(ISBLANK('Eid List Entry'!C54),3,
IF(ISBLANK('Eid List Entry'!C74),4,
IF(ISBLANK('Eid List Entry'!C94),5,
IF(ISBLANK('Eid List Entry'!C114),6,
IF(ISBLANK('Eid List Entry'!C134),7,
IF(ISBLANK('Eid List Entry'!C154),8,
IF(ISBLANK('Eid List Entry'!C174),9,
IF(ISBLANK('Eid List Entry'!C194),10,
IF(ISBLANK('Eid List Entry'!C214),11,
IF(ISBLANK('Eid List Entry'!C234),12,
IF(ISBLANK('Eid List Entry'!C254),13))))))))))))))</f>
        <v>13 of 1</v>
      </c>
      <c r="C354" s="226"/>
      <c r="D354" s="227"/>
      <c r="E354" s="227"/>
      <c r="F354" s="227"/>
      <c r="G354" s="227"/>
      <c r="H354" s="227"/>
      <c r="I354" s="227"/>
      <c r="J354" s="227"/>
      <c r="K354" s="227"/>
      <c r="L354" s="227"/>
      <c r="M354" s="227"/>
      <c r="N354" s="227"/>
      <c r="O354" s="227"/>
      <c r="P354" s="227"/>
      <c r="Q354" s="227"/>
      <c r="R354" s="227"/>
      <c r="S354" s="227"/>
      <c r="T354" s="227"/>
      <c r="U354" s="227"/>
      <c r="V354" s="227"/>
      <c r="W354" s="227"/>
      <c r="X354" s="227"/>
      <c r="Y354" s="228"/>
      <c r="Z354" s="232" t="s">
        <v>7</v>
      </c>
      <c r="AA354" s="234" t="s">
        <v>1</v>
      </c>
      <c r="AB354" s="236" t="s">
        <v>21</v>
      </c>
      <c r="AC354" s="237"/>
      <c r="AD354" s="232"/>
      <c r="AE354" s="236" t="s">
        <v>39</v>
      </c>
      <c r="AF354" s="232"/>
    </row>
    <row r="355" spans="2:32" ht="17.25" customHeight="1" x14ac:dyDescent="0.25">
      <c r="B355" s="321"/>
      <c r="C355" s="229"/>
      <c r="D355" s="230"/>
      <c r="E355" s="230"/>
      <c r="F355" s="230"/>
      <c r="G355" s="230"/>
      <c r="H355" s="230"/>
      <c r="I355" s="230"/>
      <c r="J355" s="230"/>
      <c r="K355" s="230"/>
      <c r="L355" s="230"/>
      <c r="M355" s="230"/>
      <c r="N355" s="230"/>
      <c r="O355" s="230"/>
      <c r="P355" s="230"/>
      <c r="Q355" s="230"/>
      <c r="R355" s="230"/>
      <c r="S355" s="230"/>
      <c r="T355" s="230"/>
      <c r="U355" s="230"/>
      <c r="V355" s="230"/>
      <c r="W355" s="230"/>
      <c r="X355" s="230"/>
      <c r="Y355" s="231"/>
      <c r="Z355" s="233"/>
      <c r="AA355" s="234"/>
      <c r="AB355" s="238"/>
      <c r="AC355" s="239"/>
      <c r="AD355" s="233"/>
      <c r="AE355" s="238"/>
      <c r="AF355" s="233"/>
    </row>
    <row r="356" spans="2:32" ht="17.25" customHeight="1" x14ac:dyDescent="0.25">
      <c r="B356" s="322"/>
      <c r="C356" s="243" t="s">
        <v>3</v>
      </c>
      <c r="D356" s="222"/>
      <c r="E356" s="222"/>
      <c r="F356" s="222"/>
      <c r="G356" s="243">
        <f>G327</f>
        <v>0</v>
      </c>
      <c r="H356" s="222"/>
      <c r="I356" s="222"/>
      <c r="J356" s="222"/>
      <c r="K356" s="222"/>
      <c r="L356" s="121"/>
      <c r="M356" s="121"/>
      <c r="N356" s="121"/>
      <c r="O356" s="121"/>
      <c r="P356" s="121"/>
      <c r="Q356" s="121"/>
      <c r="R356" s="121"/>
      <c r="S356" s="121"/>
      <c r="T356" s="121"/>
      <c r="U356" s="121"/>
      <c r="V356" s="121"/>
      <c r="W356" s="121"/>
      <c r="X356" s="121"/>
      <c r="Y356" s="121"/>
      <c r="Z356" s="234"/>
      <c r="AA356" s="235"/>
      <c r="AB356" s="240"/>
      <c r="AC356" s="241"/>
      <c r="AD356" s="242"/>
      <c r="AE356" s="238"/>
      <c r="AF356" s="233"/>
    </row>
    <row r="357" spans="2:32" ht="35.25" customHeight="1" x14ac:dyDescent="0.25">
      <c r="B357" s="68" t="s">
        <v>2</v>
      </c>
      <c r="C357" s="244" t="str">
        <f>C327</f>
        <v xml:space="preserve">Lock Box # </v>
      </c>
      <c r="D357" s="244"/>
      <c r="E357" s="244"/>
      <c r="F357" s="244"/>
      <c r="G357" s="244"/>
      <c r="H357" s="244"/>
      <c r="I357" s="244"/>
      <c r="J357" s="244"/>
      <c r="K357" s="244"/>
      <c r="L357" s="244"/>
      <c r="M357" s="244"/>
      <c r="N357" s="244"/>
      <c r="O357" s="244"/>
      <c r="P357" s="244"/>
      <c r="Q357" s="244"/>
      <c r="R357" s="244"/>
      <c r="S357" s="244"/>
      <c r="T357" s="244"/>
      <c r="U357" s="244"/>
      <c r="V357" s="244"/>
      <c r="W357" s="244"/>
      <c r="X357" s="244"/>
      <c r="Y357" s="80" t="s">
        <v>28</v>
      </c>
      <c r="Z357" s="235"/>
      <c r="AA357" s="79" t="s">
        <v>73</v>
      </c>
      <c r="AB357" s="79" t="s">
        <v>73</v>
      </c>
      <c r="AC357" s="245" t="s">
        <v>73</v>
      </c>
      <c r="AD357" s="246"/>
      <c r="AE357" s="240"/>
      <c r="AF357" s="242"/>
    </row>
    <row r="358" spans="2:32" ht="15" customHeight="1" x14ac:dyDescent="0.25">
      <c r="B358" s="78" t="str">
        <f>'Eid List Entry'!B234</f>
        <v xml:space="preserve"> </v>
      </c>
      <c r="C358" s="215">
        <f>'Eid List Entry'!C234</f>
        <v>0</v>
      </c>
      <c r="D358" s="216"/>
      <c r="E358" s="216"/>
      <c r="F358" s="216"/>
      <c r="G358" s="216"/>
      <c r="H358" s="216"/>
      <c r="I358" s="216"/>
      <c r="J358" s="216"/>
      <c r="K358" s="216"/>
      <c r="L358" s="216"/>
      <c r="M358" s="216"/>
      <c r="N358" s="216"/>
      <c r="O358" s="216"/>
      <c r="P358" s="216"/>
      <c r="Q358" s="216"/>
      <c r="R358" s="216"/>
      <c r="S358" s="216"/>
      <c r="T358" s="216"/>
      <c r="U358" s="216"/>
      <c r="V358" s="216"/>
      <c r="W358" s="216"/>
      <c r="X358" s="216"/>
      <c r="Y358" s="21">
        <f>'Eid List Entry'!E234</f>
        <v>0</v>
      </c>
      <c r="Z358" s="104">
        <f>'Eid List Entry'!D234</f>
        <v>0</v>
      </c>
      <c r="AA358" s="128"/>
      <c r="AB358" s="76"/>
      <c r="AC358" s="217"/>
      <c r="AD358" s="218"/>
      <c r="AE358" s="224"/>
      <c r="AF358" s="225"/>
    </row>
    <row r="359" spans="2:32" ht="15" customHeight="1" x14ac:dyDescent="0.25">
      <c r="B359" s="78" t="str">
        <f>'Eid List Entry'!B235</f>
        <v xml:space="preserve"> </v>
      </c>
      <c r="C359" s="215">
        <f>'Eid List Entry'!C235</f>
        <v>0</v>
      </c>
      <c r="D359" s="216"/>
      <c r="E359" s="216"/>
      <c r="F359" s="216"/>
      <c r="G359" s="216"/>
      <c r="H359" s="216"/>
      <c r="I359" s="216"/>
      <c r="J359" s="216"/>
      <c r="K359" s="216"/>
      <c r="L359" s="216"/>
      <c r="M359" s="216"/>
      <c r="N359" s="216"/>
      <c r="O359" s="216"/>
      <c r="P359" s="216"/>
      <c r="Q359" s="216"/>
      <c r="R359" s="216"/>
      <c r="S359" s="216"/>
      <c r="T359" s="216"/>
      <c r="U359" s="216"/>
      <c r="V359" s="216"/>
      <c r="W359" s="216"/>
      <c r="X359" s="216"/>
      <c r="Y359" s="21">
        <f>'Eid List Entry'!E235</f>
        <v>0</v>
      </c>
      <c r="Z359" s="104">
        <f>'Eid List Entry'!D235</f>
        <v>0</v>
      </c>
      <c r="AA359" s="128"/>
      <c r="AB359" s="76"/>
      <c r="AC359" s="217"/>
      <c r="AD359" s="218"/>
      <c r="AE359" s="219"/>
      <c r="AF359" s="218"/>
    </row>
    <row r="360" spans="2:32" ht="15" customHeight="1" x14ac:dyDescent="0.25">
      <c r="B360" s="78" t="str">
        <f>'Eid List Entry'!B236</f>
        <v xml:space="preserve"> </v>
      </c>
      <c r="C360" s="215">
        <f>'Eid List Entry'!C236</f>
        <v>0</v>
      </c>
      <c r="D360" s="216"/>
      <c r="E360" s="216"/>
      <c r="F360" s="216"/>
      <c r="G360" s="216"/>
      <c r="H360" s="216"/>
      <c r="I360" s="216"/>
      <c r="J360" s="216"/>
      <c r="K360" s="216"/>
      <c r="L360" s="216"/>
      <c r="M360" s="216"/>
      <c r="N360" s="216"/>
      <c r="O360" s="216"/>
      <c r="P360" s="216"/>
      <c r="Q360" s="216"/>
      <c r="R360" s="216"/>
      <c r="S360" s="216"/>
      <c r="T360" s="216"/>
      <c r="U360" s="216"/>
      <c r="V360" s="216"/>
      <c r="W360" s="216"/>
      <c r="X360" s="216"/>
      <c r="Y360" s="21">
        <f>'Eid List Entry'!E236</f>
        <v>0</v>
      </c>
      <c r="Z360" s="104">
        <f>'Eid List Entry'!D236</f>
        <v>0</v>
      </c>
      <c r="AA360" s="128"/>
      <c r="AB360" s="76"/>
      <c r="AC360" s="217"/>
      <c r="AD360" s="218"/>
      <c r="AE360" s="219"/>
      <c r="AF360" s="218"/>
    </row>
    <row r="361" spans="2:32" ht="15" customHeight="1" x14ac:dyDescent="0.25">
      <c r="B361" s="78" t="str">
        <f>'Eid List Entry'!B237</f>
        <v xml:space="preserve"> </v>
      </c>
      <c r="C361" s="215">
        <f>'Eid List Entry'!C237</f>
        <v>0</v>
      </c>
      <c r="D361" s="216"/>
      <c r="E361" s="216"/>
      <c r="F361" s="216"/>
      <c r="G361" s="216"/>
      <c r="H361" s="216"/>
      <c r="I361" s="216"/>
      <c r="J361" s="216"/>
      <c r="K361" s="216"/>
      <c r="L361" s="216"/>
      <c r="M361" s="216"/>
      <c r="N361" s="216"/>
      <c r="O361" s="216"/>
      <c r="P361" s="216"/>
      <c r="Q361" s="216"/>
      <c r="R361" s="216"/>
      <c r="S361" s="216"/>
      <c r="T361" s="216"/>
      <c r="U361" s="216"/>
      <c r="V361" s="216"/>
      <c r="W361" s="216"/>
      <c r="X361" s="216"/>
      <c r="Y361" s="21">
        <f>'Eid List Entry'!E237</f>
        <v>0</v>
      </c>
      <c r="Z361" s="104">
        <f>'Eid List Entry'!D237</f>
        <v>0</v>
      </c>
      <c r="AA361" s="128"/>
      <c r="AB361" s="76"/>
      <c r="AC361" s="217"/>
      <c r="AD361" s="218"/>
      <c r="AE361" s="219"/>
      <c r="AF361" s="218"/>
    </row>
    <row r="362" spans="2:32" ht="15" customHeight="1" x14ac:dyDescent="0.25">
      <c r="B362" s="78" t="str">
        <f>'Eid List Entry'!B238</f>
        <v xml:space="preserve"> </v>
      </c>
      <c r="C362" s="215">
        <f>'Eid List Entry'!C238</f>
        <v>0</v>
      </c>
      <c r="D362" s="216"/>
      <c r="E362" s="216"/>
      <c r="F362" s="216"/>
      <c r="G362" s="216"/>
      <c r="H362" s="216"/>
      <c r="I362" s="216"/>
      <c r="J362" s="216"/>
      <c r="K362" s="216"/>
      <c r="L362" s="216"/>
      <c r="M362" s="216"/>
      <c r="N362" s="216"/>
      <c r="O362" s="216"/>
      <c r="P362" s="216"/>
      <c r="Q362" s="216"/>
      <c r="R362" s="216"/>
      <c r="S362" s="216"/>
      <c r="T362" s="216"/>
      <c r="U362" s="216"/>
      <c r="V362" s="216"/>
      <c r="W362" s="216"/>
      <c r="X362" s="216"/>
      <c r="Y362" s="21">
        <f>'Eid List Entry'!E238</f>
        <v>0</v>
      </c>
      <c r="Z362" s="104">
        <f>'Eid List Entry'!D238</f>
        <v>0</v>
      </c>
      <c r="AA362" s="128"/>
      <c r="AB362" s="76"/>
      <c r="AC362" s="217"/>
      <c r="AD362" s="218"/>
      <c r="AE362" s="219"/>
      <c r="AF362" s="218"/>
    </row>
    <row r="363" spans="2:32" ht="15" customHeight="1" x14ac:dyDescent="0.25">
      <c r="B363" s="78" t="str">
        <f>'Eid List Entry'!B239</f>
        <v xml:space="preserve"> </v>
      </c>
      <c r="C363" s="215">
        <f>'Eid List Entry'!C239</f>
        <v>0</v>
      </c>
      <c r="D363" s="216"/>
      <c r="E363" s="216"/>
      <c r="F363" s="216"/>
      <c r="G363" s="216"/>
      <c r="H363" s="216"/>
      <c r="I363" s="216"/>
      <c r="J363" s="216"/>
      <c r="K363" s="216"/>
      <c r="L363" s="216"/>
      <c r="M363" s="216"/>
      <c r="N363" s="216"/>
      <c r="O363" s="216"/>
      <c r="P363" s="216"/>
      <c r="Q363" s="216"/>
      <c r="R363" s="216"/>
      <c r="S363" s="216"/>
      <c r="T363" s="216"/>
      <c r="U363" s="216"/>
      <c r="V363" s="216"/>
      <c r="W363" s="216"/>
      <c r="X363" s="216"/>
      <c r="Y363" s="21">
        <f>'Eid List Entry'!E239</f>
        <v>0</v>
      </c>
      <c r="Z363" s="104">
        <f>'Eid List Entry'!D239</f>
        <v>0</v>
      </c>
      <c r="AA363" s="128"/>
      <c r="AB363" s="76"/>
      <c r="AC363" s="217"/>
      <c r="AD363" s="218"/>
      <c r="AE363" s="219"/>
      <c r="AF363" s="218"/>
    </row>
    <row r="364" spans="2:32" ht="15" customHeight="1" x14ac:dyDescent="0.25">
      <c r="B364" s="78" t="str">
        <f>'Eid List Entry'!B240</f>
        <v xml:space="preserve"> </v>
      </c>
      <c r="C364" s="215">
        <f>'Eid List Entry'!C240</f>
        <v>0</v>
      </c>
      <c r="D364" s="216"/>
      <c r="E364" s="216"/>
      <c r="F364" s="216"/>
      <c r="G364" s="216"/>
      <c r="H364" s="216"/>
      <c r="I364" s="216"/>
      <c r="J364" s="216"/>
      <c r="K364" s="216"/>
      <c r="L364" s="216"/>
      <c r="M364" s="216"/>
      <c r="N364" s="216"/>
      <c r="O364" s="216"/>
      <c r="P364" s="216"/>
      <c r="Q364" s="216"/>
      <c r="R364" s="216"/>
      <c r="S364" s="216"/>
      <c r="T364" s="216"/>
      <c r="U364" s="216"/>
      <c r="V364" s="216"/>
      <c r="W364" s="216"/>
      <c r="X364" s="216"/>
      <c r="Y364" s="21">
        <f>'Eid List Entry'!E240</f>
        <v>0</v>
      </c>
      <c r="Z364" s="104">
        <f>'Eid List Entry'!D240</f>
        <v>0</v>
      </c>
      <c r="AA364" s="128"/>
      <c r="AB364" s="76"/>
      <c r="AC364" s="217"/>
      <c r="AD364" s="218"/>
      <c r="AE364" s="219"/>
      <c r="AF364" s="218"/>
    </row>
    <row r="365" spans="2:32" ht="15" customHeight="1" x14ac:dyDescent="0.25">
      <c r="B365" s="78" t="str">
        <f>'Eid List Entry'!B241</f>
        <v xml:space="preserve"> </v>
      </c>
      <c r="C365" s="215">
        <f>'Eid List Entry'!C241</f>
        <v>0</v>
      </c>
      <c r="D365" s="216"/>
      <c r="E365" s="216"/>
      <c r="F365" s="216"/>
      <c r="G365" s="216"/>
      <c r="H365" s="216"/>
      <c r="I365" s="216"/>
      <c r="J365" s="216"/>
      <c r="K365" s="216"/>
      <c r="L365" s="216"/>
      <c r="M365" s="216"/>
      <c r="N365" s="216"/>
      <c r="O365" s="216"/>
      <c r="P365" s="216"/>
      <c r="Q365" s="216"/>
      <c r="R365" s="216"/>
      <c r="S365" s="216"/>
      <c r="T365" s="216"/>
      <c r="U365" s="216"/>
      <c r="V365" s="216"/>
      <c r="W365" s="216"/>
      <c r="X365" s="216"/>
      <c r="Y365" s="21">
        <f>'Eid List Entry'!E241</f>
        <v>0</v>
      </c>
      <c r="Z365" s="104">
        <f>'Eid List Entry'!D241</f>
        <v>0</v>
      </c>
      <c r="AA365" s="128"/>
      <c r="AB365" s="76"/>
      <c r="AC365" s="217"/>
      <c r="AD365" s="218"/>
      <c r="AE365" s="219"/>
      <c r="AF365" s="218"/>
    </row>
    <row r="366" spans="2:32" ht="15" customHeight="1" x14ac:dyDescent="0.25">
      <c r="B366" s="78" t="str">
        <f>'Eid List Entry'!B242</f>
        <v xml:space="preserve"> </v>
      </c>
      <c r="C366" s="215">
        <f>'Eid List Entry'!C242</f>
        <v>0</v>
      </c>
      <c r="D366" s="216"/>
      <c r="E366" s="216"/>
      <c r="F366" s="216"/>
      <c r="G366" s="216"/>
      <c r="H366" s="216"/>
      <c r="I366" s="216"/>
      <c r="J366" s="216"/>
      <c r="K366" s="216"/>
      <c r="L366" s="216"/>
      <c r="M366" s="216"/>
      <c r="N366" s="216"/>
      <c r="O366" s="216"/>
      <c r="P366" s="216"/>
      <c r="Q366" s="216"/>
      <c r="R366" s="216"/>
      <c r="S366" s="216"/>
      <c r="T366" s="216"/>
      <c r="U366" s="216"/>
      <c r="V366" s="216"/>
      <c r="W366" s="216"/>
      <c r="X366" s="216"/>
      <c r="Y366" s="21">
        <f>'Eid List Entry'!E242</f>
        <v>0</v>
      </c>
      <c r="Z366" s="104">
        <f>'Eid List Entry'!D242</f>
        <v>0</v>
      </c>
      <c r="AA366" s="128"/>
      <c r="AB366" s="76"/>
      <c r="AC366" s="217"/>
      <c r="AD366" s="218"/>
      <c r="AE366" s="219"/>
      <c r="AF366" s="218"/>
    </row>
    <row r="367" spans="2:32" ht="15" customHeight="1" x14ac:dyDescent="0.25">
      <c r="B367" s="78" t="str">
        <f>'Eid List Entry'!B243</f>
        <v xml:space="preserve"> </v>
      </c>
      <c r="C367" s="215">
        <f>'Eid List Entry'!C243</f>
        <v>0</v>
      </c>
      <c r="D367" s="216"/>
      <c r="E367" s="216"/>
      <c r="F367" s="216"/>
      <c r="G367" s="216"/>
      <c r="H367" s="216"/>
      <c r="I367" s="216"/>
      <c r="J367" s="216"/>
      <c r="K367" s="216"/>
      <c r="L367" s="216"/>
      <c r="M367" s="216"/>
      <c r="N367" s="216"/>
      <c r="O367" s="216"/>
      <c r="P367" s="216"/>
      <c r="Q367" s="216"/>
      <c r="R367" s="216"/>
      <c r="S367" s="216"/>
      <c r="T367" s="216"/>
      <c r="U367" s="216"/>
      <c r="V367" s="216"/>
      <c r="W367" s="216"/>
      <c r="X367" s="216"/>
      <c r="Y367" s="21">
        <f>'Eid List Entry'!E243</f>
        <v>0</v>
      </c>
      <c r="Z367" s="104">
        <f>'Eid List Entry'!D243</f>
        <v>0</v>
      </c>
      <c r="AA367" s="128"/>
      <c r="AB367" s="76"/>
      <c r="AC367" s="217"/>
      <c r="AD367" s="218"/>
      <c r="AE367" s="219"/>
      <c r="AF367" s="218"/>
    </row>
    <row r="368" spans="2:32" ht="15" customHeight="1" x14ac:dyDescent="0.25">
      <c r="B368" s="78" t="str">
        <f>'Eid List Entry'!B244</f>
        <v xml:space="preserve"> </v>
      </c>
      <c r="C368" s="215">
        <f>'Eid List Entry'!C244</f>
        <v>0</v>
      </c>
      <c r="D368" s="216"/>
      <c r="E368" s="216"/>
      <c r="F368" s="216"/>
      <c r="G368" s="216"/>
      <c r="H368" s="216"/>
      <c r="I368" s="216"/>
      <c r="J368" s="216"/>
      <c r="K368" s="216"/>
      <c r="L368" s="216"/>
      <c r="M368" s="216"/>
      <c r="N368" s="216"/>
      <c r="O368" s="216"/>
      <c r="P368" s="216"/>
      <c r="Q368" s="216"/>
      <c r="R368" s="216"/>
      <c r="S368" s="216"/>
      <c r="T368" s="216"/>
      <c r="U368" s="216"/>
      <c r="V368" s="216"/>
      <c r="W368" s="216"/>
      <c r="X368" s="216"/>
      <c r="Y368" s="21">
        <f>'Eid List Entry'!E244</f>
        <v>0</v>
      </c>
      <c r="Z368" s="104">
        <f>'Eid List Entry'!D244</f>
        <v>0</v>
      </c>
      <c r="AA368" s="128"/>
      <c r="AB368" s="76"/>
      <c r="AC368" s="217"/>
      <c r="AD368" s="218"/>
      <c r="AE368" s="219"/>
      <c r="AF368" s="218"/>
    </row>
    <row r="369" spans="2:32" ht="15" customHeight="1" x14ac:dyDescent="0.25">
      <c r="B369" s="78" t="str">
        <f>'Eid List Entry'!B245</f>
        <v xml:space="preserve"> </v>
      </c>
      <c r="C369" s="215">
        <f>'Eid List Entry'!C245</f>
        <v>0</v>
      </c>
      <c r="D369" s="216"/>
      <c r="E369" s="216"/>
      <c r="F369" s="216"/>
      <c r="G369" s="216"/>
      <c r="H369" s="216"/>
      <c r="I369" s="216"/>
      <c r="J369" s="216"/>
      <c r="K369" s="216"/>
      <c r="L369" s="216"/>
      <c r="M369" s="216"/>
      <c r="N369" s="216"/>
      <c r="O369" s="216"/>
      <c r="P369" s="216"/>
      <c r="Q369" s="216"/>
      <c r="R369" s="216"/>
      <c r="S369" s="216"/>
      <c r="T369" s="216"/>
      <c r="U369" s="216"/>
      <c r="V369" s="216"/>
      <c r="W369" s="216"/>
      <c r="X369" s="216"/>
      <c r="Y369" s="21">
        <f>'Eid List Entry'!E245</f>
        <v>0</v>
      </c>
      <c r="Z369" s="104">
        <f>'Eid List Entry'!D245</f>
        <v>0</v>
      </c>
      <c r="AA369" s="81"/>
      <c r="AB369" s="82"/>
      <c r="AC369" s="220"/>
      <c r="AD369" s="221"/>
      <c r="AE369" s="222"/>
      <c r="AF369" s="223"/>
    </row>
    <row r="370" spans="2:32" ht="15" customHeight="1" x14ac:dyDescent="0.25">
      <c r="B370" s="78" t="str">
        <f>'Eid List Entry'!B246</f>
        <v xml:space="preserve"> </v>
      </c>
      <c r="C370" s="215">
        <f>'Eid List Entry'!C246</f>
        <v>0</v>
      </c>
      <c r="D370" s="216"/>
      <c r="E370" s="216"/>
      <c r="F370" s="216"/>
      <c r="G370" s="216"/>
      <c r="H370" s="216"/>
      <c r="I370" s="216"/>
      <c r="J370" s="216"/>
      <c r="K370" s="216"/>
      <c r="L370" s="216"/>
      <c r="M370" s="216"/>
      <c r="N370" s="216"/>
      <c r="O370" s="216"/>
      <c r="P370" s="216"/>
      <c r="Q370" s="216"/>
      <c r="R370" s="216"/>
      <c r="S370" s="216"/>
      <c r="T370" s="216"/>
      <c r="U370" s="216"/>
      <c r="V370" s="216"/>
      <c r="W370" s="216"/>
      <c r="X370" s="216"/>
      <c r="Y370" s="21">
        <f>'Eid List Entry'!E246</f>
        <v>0</v>
      </c>
      <c r="Z370" s="104">
        <f>'Eid List Entry'!D246</f>
        <v>0</v>
      </c>
      <c r="AA370" s="128"/>
      <c r="AB370" s="82"/>
      <c r="AC370" s="217"/>
      <c r="AD370" s="218"/>
      <c r="AE370" s="219"/>
      <c r="AF370" s="218"/>
    </row>
    <row r="371" spans="2:32" ht="15" customHeight="1" x14ac:dyDescent="0.25">
      <c r="B371" s="78" t="str">
        <f>'Eid List Entry'!B247</f>
        <v xml:space="preserve"> </v>
      </c>
      <c r="C371" s="215">
        <f>'Eid List Entry'!C247</f>
        <v>0</v>
      </c>
      <c r="D371" s="216"/>
      <c r="E371" s="216"/>
      <c r="F371" s="216"/>
      <c r="G371" s="216"/>
      <c r="H371" s="216"/>
      <c r="I371" s="216"/>
      <c r="J371" s="216"/>
      <c r="K371" s="216"/>
      <c r="L371" s="216"/>
      <c r="M371" s="216"/>
      <c r="N371" s="216"/>
      <c r="O371" s="216"/>
      <c r="P371" s="216"/>
      <c r="Q371" s="216"/>
      <c r="R371" s="216"/>
      <c r="S371" s="216"/>
      <c r="T371" s="216"/>
      <c r="U371" s="216"/>
      <c r="V371" s="216"/>
      <c r="W371" s="216"/>
      <c r="X371" s="216"/>
      <c r="Y371" s="21">
        <f>'Eid List Entry'!E247</f>
        <v>0</v>
      </c>
      <c r="Z371" s="104">
        <f>'Eid List Entry'!D247</f>
        <v>0</v>
      </c>
      <c r="AA371" s="128"/>
      <c r="AB371" s="76"/>
      <c r="AC371" s="217"/>
      <c r="AD371" s="218"/>
      <c r="AE371" s="219"/>
      <c r="AF371" s="218"/>
    </row>
    <row r="372" spans="2:32" ht="15" customHeight="1" x14ac:dyDescent="0.25">
      <c r="B372" s="78" t="str">
        <f>'Eid List Entry'!B248</f>
        <v xml:space="preserve"> </v>
      </c>
      <c r="C372" s="215">
        <f>'Eid List Entry'!C248</f>
        <v>0</v>
      </c>
      <c r="D372" s="216"/>
      <c r="E372" s="216"/>
      <c r="F372" s="216"/>
      <c r="G372" s="216"/>
      <c r="H372" s="216"/>
      <c r="I372" s="216"/>
      <c r="J372" s="216"/>
      <c r="K372" s="216"/>
      <c r="L372" s="216"/>
      <c r="M372" s="216"/>
      <c r="N372" s="216"/>
      <c r="O372" s="216"/>
      <c r="P372" s="216"/>
      <c r="Q372" s="216"/>
      <c r="R372" s="216"/>
      <c r="S372" s="216"/>
      <c r="T372" s="216"/>
      <c r="U372" s="216"/>
      <c r="V372" s="216"/>
      <c r="W372" s="216"/>
      <c r="X372" s="216"/>
      <c r="Y372" s="21">
        <f>'Eid List Entry'!E248</f>
        <v>0</v>
      </c>
      <c r="Z372" s="104">
        <f>'Eid List Entry'!D248</f>
        <v>0</v>
      </c>
      <c r="AA372" s="128"/>
      <c r="AB372" s="76"/>
      <c r="AC372" s="217"/>
      <c r="AD372" s="218"/>
      <c r="AE372" s="219"/>
      <c r="AF372" s="218"/>
    </row>
    <row r="373" spans="2:32" ht="15" customHeight="1" x14ac:dyDescent="0.25">
      <c r="B373" s="78" t="str">
        <f>'Eid List Entry'!B249</f>
        <v xml:space="preserve"> </v>
      </c>
      <c r="C373" s="215">
        <f>'Eid List Entry'!C249</f>
        <v>0</v>
      </c>
      <c r="D373" s="216"/>
      <c r="E373" s="216"/>
      <c r="F373" s="216"/>
      <c r="G373" s="216"/>
      <c r="H373" s="216"/>
      <c r="I373" s="216"/>
      <c r="J373" s="216"/>
      <c r="K373" s="216"/>
      <c r="L373" s="216"/>
      <c r="M373" s="216"/>
      <c r="N373" s="216"/>
      <c r="O373" s="216"/>
      <c r="P373" s="216"/>
      <c r="Q373" s="216"/>
      <c r="R373" s="216"/>
      <c r="S373" s="216"/>
      <c r="T373" s="216"/>
      <c r="U373" s="216"/>
      <c r="V373" s="216"/>
      <c r="W373" s="216"/>
      <c r="X373" s="216"/>
      <c r="Y373" s="21">
        <f>'Eid List Entry'!E249</f>
        <v>0</v>
      </c>
      <c r="Z373" s="104">
        <f>'Eid List Entry'!D249</f>
        <v>0</v>
      </c>
      <c r="AA373" s="128"/>
      <c r="AB373" s="76"/>
      <c r="AC373" s="217"/>
      <c r="AD373" s="218"/>
      <c r="AE373" s="219"/>
      <c r="AF373" s="218"/>
    </row>
    <row r="374" spans="2:32" ht="15" customHeight="1" x14ac:dyDescent="0.25">
      <c r="B374" s="78" t="str">
        <f>'Eid List Entry'!B250</f>
        <v xml:space="preserve"> </v>
      </c>
      <c r="C374" s="215">
        <f>'Eid List Entry'!C250</f>
        <v>0</v>
      </c>
      <c r="D374" s="216"/>
      <c r="E374" s="216"/>
      <c r="F374" s="216"/>
      <c r="G374" s="216"/>
      <c r="H374" s="216"/>
      <c r="I374" s="216"/>
      <c r="J374" s="216"/>
      <c r="K374" s="216"/>
      <c r="L374" s="216"/>
      <c r="M374" s="216"/>
      <c r="N374" s="216"/>
      <c r="O374" s="216"/>
      <c r="P374" s="216"/>
      <c r="Q374" s="216"/>
      <c r="R374" s="216"/>
      <c r="S374" s="216"/>
      <c r="T374" s="216"/>
      <c r="U374" s="216"/>
      <c r="V374" s="216"/>
      <c r="W374" s="216"/>
      <c r="X374" s="216"/>
      <c r="Y374" s="21">
        <f>'Eid List Entry'!E250</f>
        <v>0</v>
      </c>
      <c r="Z374" s="104">
        <f>'Eid List Entry'!D250</f>
        <v>0</v>
      </c>
      <c r="AA374" s="128"/>
      <c r="AB374" s="76"/>
      <c r="AC374" s="217"/>
      <c r="AD374" s="218"/>
      <c r="AE374" s="219"/>
      <c r="AF374" s="218"/>
    </row>
    <row r="375" spans="2:32" ht="15" customHeight="1" x14ac:dyDescent="0.25">
      <c r="B375" s="78" t="str">
        <f>'Eid List Entry'!B251</f>
        <v xml:space="preserve"> </v>
      </c>
      <c r="C375" s="215">
        <f>'Eid List Entry'!C251</f>
        <v>0</v>
      </c>
      <c r="D375" s="216"/>
      <c r="E375" s="216"/>
      <c r="F375" s="216"/>
      <c r="G375" s="216"/>
      <c r="H375" s="216"/>
      <c r="I375" s="216"/>
      <c r="J375" s="216"/>
      <c r="K375" s="216"/>
      <c r="L375" s="216"/>
      <c r="M375" s="216"/>
      <c r="N375" s="216"/>
      <c r="O375" s="216"/>
      <c r="P375" s="216"/>
      <c r="Q375" s="216"/>
      <c r="R375" s="216"/>
      <c r="S375" s="216"/>
      <c r="T375" s="216"/>
      <c r="U375" s="216"/>
      <c r="V375" s="216"/>
      <c r="W375" s="216"/>
      <c r="X375" s="216"/>
      <c r="Y375" s="21">
        <f>'Eid List Entry'!E251</f>
        <v>0</v>
      </c>
      <c r="Z375" s="104">
        <f>'Eid List Entry'!D251</f>
        <v>0</v>
      </c>
      <c r="AA375" s="128"/>
      <c r="AB375" s="76"/>
      <c r="AC375" s="217"/>
      <c r="AD375" s="218"/>
      <c r="AE375" s="219"/>
      <c r="AF375" s="218"/>
    </row>
    <row r="376" spans="2:32" ht="15" customHeight="1" x14ac:dyDescent="0.25">
      <c r="B376" s="78" t="str">
        <f>'Eid List Entry'!B252</f>
        <v xml:space="preserve"> </v>
      </c>
      <c r="C376" s="215">
        <f>'Eid List Entry'!C252</f>
        <v>0</v>
      </c>
      <c r="D376" s="216"/>
      <c r="E376" s="216"/>
      <c r="F376" s="216"/>
      <c r="G376" s="216"/>
      <c r="H376" s="216"/>
      <c r="I376" s="216"/>
      <c r="J376" s="216"/>
      <c r="K376" s="216"/>
      <c r="L376" s="216"/>
      <c r="M376" s="216"/>
      <c r="N376" s="216"/>
      <c r="O376" s="216"/>
      <c r="P376" s="216"/>
      <c r="Q376" s="216"/>
      <c r="R376" s="216"/>
      <c r="S376" s="216"/>
      <c r="T376" s="216"/>
      <c r="U376" s="216"/>
      <c r="V376" s="216"/>
      <c r="W376" s="216"/>
      <c r="X376" s="216"/>
      <c r="Y376" s="21">
        <f>'Eid List Entry'!E252</f>
        <v>0</v>
      </c>
      <c r="Z376" s="104">
        <f>'Eid List Entry'!D252</f>
        <v>0</v>
      </c>
      <c r="AA376" s="128"/>
      <c r="AB376" s="76"/>
      <c r="AC376" s="217"/>
      <c r="AD376" s="218"/>
      <c r="AE376" s="219"/>
      <c r="AF376" s="218"/>
    </row>
    <row r="377" spans="2:32" ht="15" customHeight="1" x14ac:dyDescent="0.25">
      <c r="B377" s="78" t="str">
        <f>'Eid List Entry'!B253</f>
        <v xml:space="preserve"> </v>
      </c>
      <c r="C377" s="215">
        <f>'Eid List Entry'!C253</f>
        <v>0</v>
      </c>
      <c r="D377" s="216"/>
      <c r="E377" s="216"/>
      <c r="F377" s="216"/>
      <c r="G377" s="216"/>
      <c r="H377" s="216"/>
      <c r="I377" s="216"/>
      <c r="J377" s="216"/>
      <c r="K377" s="216"/>
      <c r="L377" s="216"/>
      <c r="M377" s="216"/>
      <c r="N377" s="216"/>
      <c r="O377" s="216"/>
      <c r="P377" s="216"/>
      <c r="Q377" s="216"/>
      <c r="R377" s="216"/>
      <c r="S377" s="216"/>
      <c r="T377" s="216"/>
      <c r="U377" s="216"/>
      <c r="V377" s="216"/>
      <c r="W377" s="216"/>
      <c r="X377" s="216"/>
      <c r="Y377" s="21">
        <f>'Eid List Entry'!E253</f>
        <v>0</v>
      </c>
      <c r="Z377" s="104">
        <f>'Eid List Entry'!D253</f>
        <v>0</v>
      </c>
      <c r="AA377" s="128"/>
      <c r="AB377" s="76"/>
      <c r="AC377" s="217"/>
      <c r="AD377" s="218"/>
      <c r="AE377" s="219"/>
      <c r="AF377" s="218"/>
    </row>
    <row r="378" spans="2:32" ht="18" customHeight="1" x14ac:dyDescent="0.25"/>
    <row r="379" spans="2:32" ht="18" customHeight="1" x14ac:dyDescent="0.25"/>
    <row r="380" spans="2:32" ht="18" customHeight="1" x14ac:dyDescent="0.25"/>
    <row r="381" spans="2:32" ht="18" customHeight="1" x14ac:dyDescent="0.25"/>
    <row r="382" spans="2:32" ht="18" customHeight="1" x14ac:dyDescent="0.25"/>
    <row r="383" spans="2:32" ht="18" customHeight="1" x14ac:dyDescent="0.25"/>
    <row r="384" spans="2:32" ht="18" customHeight="1" x14ac:dyDescent="0.25"/>
    <row r="385" ht="18" customHeight="1" x14ac:dyDescent="0.25"/>
    <row r="386" ht="18" customHeight="1" x14ac:dyDescent="0.25"/>
    <row r="387" ht="18" customHeight="1" x14ac:dyDescent="0.25"/>
    <row r="388" ht="18" customHeight="1" x14ac:dyDescent="0.25"/>
    <row r="389" ht="18" customHeight="1" x14ac:dyDescent="0.25"/>
    <row r="390" ht="18" customHeight="1" x14ac:dyDescent="0.25"/>
    <row r="391" ht="18" customHeight="1" x14ac:dyDescent="0.25"/>
    <row r="392" ht="18" customHeight="1" x14ac:dyDescent="0.25"/>
    <row r="393" ht="18" customHeight="1" x14ac:dyDescent="0.25"/>
    <row r="394" ht="18" customHeight="1" x14ac:dyDescent="0.25"/>
    <row r="395" ht="18" customHeight="1" x14ac:dyDescent="0.25"/>
    <row r="396" ht="18" customHeight="1" x14ac:dyDescent="0.25"/>
    <row r="397" ht="18" customHeight="1" x14ac:dyDescent="0.25"/>
    <row r="398" ht="18" customHeight="1" x14ac:dyDescent="0.25"/>
    <row r="399" ht="18" customHeight="1" x14ac:dyDescent="0.25"/>
    <row r="400" ht="18" customHeight="1" x14ac:dyDescent="0.25"/>
    <row r="401" ht="18" customHeight="1" x14ac:dyDescent="0.25"/>
    <row r="402" ht="18" customHeight="1" x14ac:dyDescent="0.25"/>
    <row r="403" ht="18" customHeight="1" x14ac:dyDescent="0.25"/>
    <row r="404" ht="18" customHeight="1" x14ac:dyDescent="0.25"/>
    <row r="405" ht="18" customHeight="1" x14ac:dyDescent="0.25"/>
    <row r="406" ht="18" customHeight="1" x14ac:dyDescent="0.25"/>
    <row r="407" ht="18" customHeight="1" x14ac:dyDescent="0.25"/>
    <row r="408" ht="18" customHeight="1" x14ac:dyDescent="0.25"/>
    <row r="409" ht="18" customHeight="1" x14ac:dyDescent="0.25"/>
    <row r="410" ht="18" customHeight="1" x14ac:dyDescent="0.25"/>
    <row r="411" ht="18" customHeight="1" x14ac:dyDescent="0.25"/>
    <row r="412" ht="18" customHeight="1" x14ac:dyDescent="0.25"/>
    <row r="413" ht="18" customHeight="1" x14ac:dyDescent="0.25"/>
    <row r="414" ht="18" customHeight="1" x14ac:dyDescent="0.25"/>
    <row r="415" ht="18" customHeight="1" x14ac:dyDescent="0.25"/>
    <row r="416" ht="18" customHeight="1" x14ac:dyDescent="0.25"/>
    <row r="417" ht="18" customHeight="1" x14ac:dyDescent="0.25"/>
    <row r="418" ht="18" customHeight="1" x14ac:dyDescent="0.25"/>
    <row r="419" ht="18" customHeight="1" x14ac:dyDescent="0.25"/>
    <row r="420" ht="18" customHeight="1" x14ac:dyDescent="0.25"/>
    <row r="421" ht="18" customHeight="1" x14ac:dyDescent="0.25"/>
    <row r="422" ht="18" customHeight="1" x14ac:dyDescent="0.25"/>
    <row r="423" ht="18" customHeight="1" x14ac:dyDescent="0.25"/>
    <row r="424" ht="18" customHeight="1" x14ac:dyDescent="0.25"/>
    <row r="425" ht="18" customHeight="1" x14ac:dyDescent="0.25"/>
    <row r="426" ht="18" customHeight="1" x14ac:dyDescent="0.25"/>
    <row r="427" ht="18" customHeight="1" x14ac:dyDescent="0.25"/>
    <row r="428" ht="18" customHeight="1" x14ac:dyDescent="0.25"/>
    <row r="429" ht="18" customHeight="1" x14ac:dyDescent="0.25"/>
    <row r="430" ht="18" customHeight="1" x14ac:dyDescent="0.25"/>
    <row r="431" ht="18" customHeight="1" x14ac:dyDescent="0.25"/>
    <row r="432" ht="18" customHeight="1" x14ac:dyDescent="0.25"/>
    <row r="433" ht="18" customHeight="1" x14ac:dyDescent="0.25"/>
    <row r="434" ht="18" customHeight="1" x14ac:dyDescent="0.25"/>
    <row r="435" ht="18" customHeight="1" x14ac:dyDescent="0.25"/>
    <row r="436" ht="18" customHeight="1" x14ac:dyDescent="0.25"/>
    <row r="437" ht="18" customHeight="1" x14ac:dyDescent="0.25"/>
    <row r="438" ht="18" customHeight="1" x14ac:dyDescent="0.25"/>
    <row r="439" ht="18" customHeight="1" x14ac:dyDescent="0.25"/>
    <row r="440" ht="18" customHeight="1" x14ac:dyDescent="0.25"/>
    <row r="441" ht="18" customHeight="1" x14ac:dyDescent="0.25"/>
    <row r="442" ht="18" customHeight="1" x14ac:dyDescent="0.25"/>
    <row r="443" ht="18" customHeight="1" x14ac:dyDescent="0.25"/>
    <row r="444" ht="18" customHeight="1" x14ac:dyDescent="0.25"/>
    <row r="445" ht="18" customHeight="1" x14ac:dyDescent="0.25"/>
    <row r="446" ht="18" customHeight="1" x14ac:dyDescent="0.25"/>
    <row r="447" ht="18" customHeight="1" x14ac:dyDescent="0.25"/>
    <row r="448" ht="18" customHeight="1" x14ac:dyDescent="0.25"/>
    <row r="449" ht="18" customHeight="1" x14ac:dyDescent="0.25"/>
    <row r="450" ht="18" customHeight="1" x14ac:dyDescent="0.25"/>
    <row r="451" ht="18" customHeight="1" x14ac:dyDescent="0.25"/>
    <row r="452" ht="18" customHeight="1" x14ac:dyDescent="0.25"/>
    <row r="453" ht="18" customHeight="1" x14ac:dyDescent="0.25"/>
    <row r="454" ht="18" customHeight="1" x14ac:dyDescent="0.25"/>
    <row r="455" ht="18" customHeight="1" x14ac:dyDescent="0.25"/>
    <row r="456" ht="18" customHeight="1" x14ac:dyDescent="0.25"/>
    <row r="457" ht="18" customHeight="1" x14ac:dyDescent="0.25"/>
    <row r="458" ht="18" customHeight="1" x14ac:dyDescent="0.25"/>
    <row r="459" ht="18" customHeight="1" x14ac:dyDescent="0.25"/>
    <row r="460" ht="18" customHeight="1" x14ac:dyDescent="0.25"/>
    <row r="461" ht="18" customHeight="1" x14ac:dyDescent="0.25"/>
    <row r="462" ht="18" customHeight="1" x14ac:dyDescent="0.25"/>
    <row r="463" ht="18" customHeight="1" x14ac:dyDescent="0.25"/>
    <row r="464" ht="18" customHeight="1" x14ac:dyDescent="0.25"/>
    <row r="465" ht="18" customHeight="1" x14ac:dyDescent="0.25"/>
    <row r="466" ht="18" customHeight="1" x14ac:dyDescent="0.25"/>
    <row r="467" ht="18" customHeight="1" x14ac:dyDescent="0.25"/>
    <row r="468" ht="18" customHeight="1" x14ac:dyDescent="0.25"/>
    <row r="469" ht="18" customHeight="1" x14ac:dyDescent="0.25"/>
    <row r="470" ht="18" customHeight="1" x14ac:dyDescent="0.25"/>
    <row r="471" ht="18" customHeight="1" x14ac:dyDescent="0.25"/>
    <row r="472" ht="18" customHeight="1" x14ac:dyDescent="0.25"/>
    <row r="473" ht="18" customHeight="1" x14ac:dyDescent="0.25"/>
    <row r="474" ht="18" customHeight="1" x14ac:dyDescent="0.25"/>
    <row r="475" ht="18" customHeight="1" x14ac:dyDescent="0.25"/>
    <row r="476" ht="18" customHeight="1" x14ac:dyDescent="0.25"/>
    <row r="477" ht="18" customHeight="1" x14ac:dyDescent="0.25"/>
    <row r="478" ht="18" customHeight="1" x14ac:dyDescent="0.25"/>
    <row r="479" ht="18" customHeight="1" x14ac:dyDescent="0.25"/>
    <row r="480" ht="18" customHeight="1" x14ac:dyDescent="0.25"/>
    <row r="481" ht="18" customHeight="1" x14ac:dyDescent="0.25"/>
    <row r="482" ht="18" customHeight="1" x14ac:dyDescent="0.25"/>
    <row r="483" ht="18" customHeight="1" x14ac:dyDescent="0.25"/>
    <row r="484" ht="18" customHeight="1" x14ac:dyDescent="0.25"/>
    <row r="485" ht="18" customHeight="1" x14ac:dyDescent="0.25"/>
    <row r="486" ht="18" customHeight="1" x14ac:dyDescent="0.25"/>
    <row r="487" ht="18" customHeight="1" x14ac:dyDescent="0.25"/>
    <row r="488" ht="18" customHeight="1" x14ac:dyDescent="0.25"/>
    <row r="489" ht="18" customHeight="1" x14ac:dyDescent="0.25"/>
    <row r="490" ht="18" customHeight="1" x14ac:dyDescent="0.25"/>
    <row r="491" ht="18" customHeight="1" x14ac:dyDescent="0.25"/>
    <row r="492" ht="18" customHeight="1" x14ac:dyDescent="0.25"/>
    <row r="493" ht="18" customHeight="1" x14ac:dyDescent="0.25"/>
    <row r="494" ht="18" customHeight="1" x14ac:dyDescent="0.25"/>
    <row r="495" ht="18" customHeight="1" x14ac:dyDescent="0.25"/>
    <row r="496" ht="18" customHeight="1" x14ac:dyDescent="0.25"/>
    <row r="497" ht="18" customHeight="1" x14ac:dyDescent="0.25"/>
    <row r="498" ht="18" customHeight="1" x14ac:dyDescent="0.25"/>
    <row r="499" ht="18" customHeight="1" x14ac:dyDescent="0.25"/>
    <row r="500" ht="18" customHeight="1" x14ac:dyDescent="0.25"/>
    <row r="501" ht="18" customHeight="1" x14ac:dyDescent="0.25"/>
    <row r="502" ht="18" customHeight="1" x14ac:dyDescent="0.25"/>
    <row r="503" ht="18" customHeight="1" x14ac:dyDescent="0.25"/>
    <row r="504" ht="18" customHeight="1" x14ac:dyDescent="0.25"/>
    <row r="505" ht="18" customHeight="1" x14ac:dyDescent="0.25"/>
    <row r="506" ht="18" customHeight="1" x14ac:dyDescent="0.25"/>
    <row r="507" ht="18" customHeight="1" x14ac:dyDescent="0.25"/>
    <row r="508" ht="18" customHeight="1" x14ac:dyDescent="0.25"/>
    <row r="509" ht="18" customHeight="1" x14ac:dyDescent="0.25"/>
    <row r="510" ht="18" customHeight="1" x14ac:dyDescent="0.25"/>
    <row r="511" ht="18" customHeight="1" x14ac:dyDescent="0.25"/>
    <row r="512" ht="18" customHeight="1" x14ac:dyDescent="0.25"/>
    <row r="513" ht="18" customHeight="1" x14ac:dyDescent="0.25"/>
    <row r="514" ht="18" customHeight="1" x14ac:dyDescent="0.25"/>
    <row r="515" ht="18" customHeight="1" x14ac:dyDescent="0.25"/>
    <row r="516" ht="18" customHeight="1" x14ac:dyDescent="0.25"/>
    <row r="517" ht="18" customHeight="1" x14ac:dyDescent="0.25"/>
    <row r="518" ht="18" customHeight="1" x14ac:dyDescent="0.25"/>
    <row r="519" ht="18" customHeight="1" x14ac:dyDescent="0.25"/>
    <row r="520" ht="18" customHeight="1" x14ac:dyDescent="0.25"/>
    <row r="521" ht="18" customHeight="1" x14ac:dyDescent="0.25"/>
    <row r="522" ht="18" customHeight="1" x14ac:dyDescent="0.25"/>
    <row r="523" ht="18" customHeight="1" x14ac:dyDescent="0.25"/>
    <row r="524" ht="18" customHeight="1" x14ac:dyDescent="0.25"/>
    <row r="525" ht="18" customHeight="1" x14ac:dyDescent="0.25"/>
    <row r="526" ht="18" customHeight="1" x14ac:dyDescent="0.25"/>
    <row r="527" ht="18" customHeight="1" x14ac:dyDescent="0.25"/>
    <row r="528" ht="18" customHeight="1" x14ac:dyDescent="0.25"/>
    <row r="529" ht="18" customHeight="1" x14ac:dyDescent="0.25"/>
    <row r="530" ht="18" customHeight="1" x14ac:dyDescent="0.25"/>
    <row r="531" ht="18" customHeight="1" x14ac:dyDescent="0.25"/>
    <row r="532" ht="18" customHeight="1" x14ac:dyDescent="0.25"/>
    <row r="533" ht="18" customHeight="1" x14ac:dyDescent="0.25"/>
    <row r="534" ht="18" customHeight="1" x14ac:dyDescent="0.25"/>
    <row r="535" ht="18" customHeight="1" x14ac:dyDescent="0.25"/>
    <row r="536" ht="18" customHeight="1" x14ac:dyDescent="0.25"/>
    <row r="537" ht="18" customHeight="1" x14ac:dyDescent="0.25"/>
    <row r="538" ht="18" customHeight="1" x14ac:dyDescent="0.25"/>
    <row r="539" ht="18" customHeight="1" x14ac:dyDescent="0.25"/>
    <row r="540" ht="18" customHeight="1" x14ac:dyDescent="0.25"/>
    <row r="541" ht="18" customHeight="1" x14ac:dyDescent="0.25"/>
    <row r="542" ht="18" customHeight="1" x14ac:dyDescent="0.25"/>
    <row r="543" ht="18" customHeight="1" x14ac:dyDescent="0.25"/>
    <row r="544" ht="18" customHeight="1" x14ac:dyDescent="0.25"/>
    <row r="545" ht="18" customHeight="1" x14ac:dyDescent="0.25"/>
    <row r="546" ht="18" customHeight="1" x14ac:dyDescent="0.25"/>
    <row r="547" ht="18" customHeight="1" x14ac:dyDescent="0.25"/>
    <row r="548" ht="18" customHeight="1" x14ac:dyDescent="0.25"/>
    <row r="549" ht="18" customHeight="1" x14ac:dyDescent="0.25"/>
    <row r="550" ht="18" customHeight="1" x14ac:dyDescent="0.25"/>
    <row r="551" ht="18" customHeight="1" x14ac:dyDescent="0.25"/>
    <row r="552" ht="18" customHeight="1" x14ac:dyDescent="0.25"/>
    <row r="553" ht="18" customHeight="1" x14ac:dyDescent="0.25"/>
    <row r="554" ht="18" customHeight="1" x14ac:dyDescent="0.25"/>
    <row r="555" ht="18" customHeight="1" x14ac:dyDescent="0.25"/>
    <row r="556" ht="18" customHeight="1" x14ac:dyDescent="0.25"/>
    <row r="557" ht="18" customHeight="1" x14ac:dyDescent="0.25"/>
    <row r="558" ht="18" customHeight="1" x14ac:dyDescent="0.25"/>
    <row r="559" ht="18" customHeight="1" x14ac:dyDescent="0.25"/>
    <row r="560" ht="18" customHeight="1" x14ac:dyDescent="0.25"/>
    <row r="561" ht="18" customHeight="1" x14ac:dyDescent="0.25"/>
    <row r="562" ht="18" customHeight="1" x14ac:dyDescent="0.25"/>
    <row r="563" ht="18" customHeight="1" x14ac:dyDescent="0.25"/>
    <row r="564" ht="18" customHeight="1" x14ac:dyDescent="0.25"/>
    <row r="565" ht="18" customHeight="1" x14ac:dyDescent="0.25"/>
    <row r="566" ht="18" customHeight="1" x14ac:dyDescent="0.25"/>
    <row r="567" ht="18" customHeight="1" x14ac:dyDescent="0.25"/>
    <row r="568" ht="18" customHeight="1" x14ac:dyDescent="0.25"/>
    <row r="569" ht="18" customHeight="1" x14ac:dyDescent="0.25"/>
    <row r="570" ht="18" customHeight="1" x14ac:dyDescent="0.25"/>
    <row r="571" ht="18" customHeight="1" x14ac:dyDescent="0.25"/>
    <row r="572" ht="18" customHeight="1" x14ac:dyDescent="0.25"/>
    <row r="573" ht="18" customHeight="1" x14ac:dyDescent="0.25"/>
    <row r="574" ht="18" customHeight="1" x14ac:dyDescent="0.25"/>
    <row r="575" ht="18" customHeight="1" x14ac:dyDescent="0.25"/>
    <row r="576" ht="18" customHeight="1" x14ac:dyDescent="0.25"/>
    <row r="577" ht="18" customHeight="1" x14ac:dyDescent="0.25"/>
    <row r="578" ht="18" customHeight="1" x14ac:dyDescent="0.25"/>
    <row r="579" ht="18" customHeight="1" x14ac:dyDescent="0.25"/>
    <row r="580" ht="18" customHeight="1" x14ac:dyDescent="0.25"/>
    <row r="581" ht="18" customHeight="1" x14ac:dyDescent="0.25"/>
    <row r="582" ht="18" customHeight="1" x14ac:dyDescent="0.25"/>
    <row r="583" ht="18" customHeight="1" x14ac:dyDescent="0.25"/>
    <row r="584" ht="18" customHeight="1" x14ac:dyDescent="0.25"/>
    <row r="585" ht="18" customHeight="1" x14ac:dyDescent="0.25"/>
    <row r="586" ht="18" customHeight="1" x14ac:dyDescent="0.25"/>
    <row r="587" ht="18" customHeight="1" x14ac:dyDescent="0.25"/>
    <row r="588" ht="18" customHeight="1" x14ac:dyDescent="0.25"/>
    <row r="589" ht="18" customHeight="1" x14ac:dyDescent="0.25"/>
    <row r="590" ht="18" customHeight="1" x14ac:dyDescent="0.25"/>
    <row r="591" ht="18" customHeight="1" x14ac:dyDescent="0.25"/>
    <row r="592" ht="18" customHeight="1" x14ac:dyDescent="0.25"/>
    <row r="593" ht="18" customHeight="1" x14ac:dyDescent="0.25"/>
    <row r="594" ht="18" customHeight="1" x14ac:dyDescent="0.25"/>
    <row r="595" ht="18" customHeight="1" x14ac:dyDescent="0.25"/>
    <row r="596" ht="18" customHeight="1" x14ac:dyDescent="0.25"/>
    <row r="597" ht="18" customHeight="1" x14ac:dyDescent="0.25"/>
    <row r="598" ht="18" customHeight="1" x14ac:dyDescent="0.25"/>
    <row r="599" ht="18" customHeight="1" x14ac:dyDescent="0.25"/>
    <row r="600" ht="18" customHeight="1" x14ac:dyDescent="0.25"/>
    <row r="601" ht="18" customHeight="1" x14ac:dyDescent="0.25"/>
    <row r="602" ht="18" customHeight="1" x14ac:dyDescent="0.25"/>
    <row r="603" ht="18" customHeight="1" x14ac:dyDescent="0.25"/>
    <row r="604" ht="18" customHeight="1" x14ac:dyDescent="0.25"/>
    <row r="605" ht="18" customHeight="1" x14ac:dyDescent="0.25"/>
    <row r="606" ht="18" customHeight="1" x14ac:dyDescent="0.25"/>
    <row r="607" ht="18" customHeight="1" x14ac:dyDescent="0.25"/>
    <row r="608" ht="18" customHeight="1" x14ac:dyDescent="0.25"/>
    <row r="609" ht="18" customHeight="1" x14ac:dyDescent="0.25"/>
    <row r="610" ht="18" customHeight="1" x14ac:dyDescent="0.25"/>
    <row r="611" ht="18" customHeight="1" x14ac:dyDescent="0.25"/>
    <row r="612" ht="18" customHeight="1" x14ac:dyDescent="0.25"/>
    <row r="613" ht="18" customHeight="1" x14ac:dyDescent="0.25"/>
    <row r="614" ht="18" customHeight="1" x14ac:dyDescent="0.25"/>
    <row r="615" ht="18" customHeight="1" x14ac:dyDescent="0.25"/>
    <row r="616" ht="18" customHeight="1" x14ac:dyDescent="0.25"/>
    <row r="617" ht="18" customHeight="1" x14ac:dyDescent="0.25"/>
    <row r="618" ht="18" customHeight="1" x14ac:dyDescent="0.25"/>
    <row r="619" ht="18" customHeight="1" x14ac:dyDescent="0.25"/>
    <row r="620" ht="18" customHeight="1" x14ac:dyDescent="0.25"/>
    <row r="621" ht="18" customHeight="1" x14ac:dyDescent="0.25"/>
    <row r="622" ht="18" customHeight="1" x14ac:dyDescent="0.25"/>
    <row r="623" ht="18" customHeight="1" x14ac:dyDescent="0.25"/>
    <row r="624" ht="18" customHeight="1" x14ac:dyDescent="0.25"/>
    <row r="625" ht="18" customHeight="1" x14ac:dyDescent="0.25"/>
    <row r="626" ht="18" customHeight="1" x14ac:dyDescent="0.25"/>
    <row r="627" ht="18" customHeight="1" x14ac:dyDescent="0.25"/>
    <row r="628" ht="18" customHeight="1" x14ac:dyDescent="0.25"/>
    <row r="629" ht="18" customHeight="1" x14ac:dyDescent="0.25"/>
    <row r="630" ht="18" customHeight="1" x14ac:dyDescent="0.25"/>
    <row r="631" ht="18" customHeight="1" x14ac:dyDescent="0.25"/>
    <row r="632" ht="18" customHeight="1" x14ac:dyDescent="0.25"/>
    <row r="633" ht="18" customHeight="1" x14ac:dyDescent="0.25"/>
    <row r="634" ht="18" customHeight="1" x14ac:dyDescent="0.25"/>
    <row r="635" ht="18" customHeight="1" x14ac:dyDescent="0.25"/>
    <row r="636" ht="18" customHeight="1" x14ac:dyDescent="0.25"/>
    <row r="637" ht="18" customHeight="1" x14ac:dyDescent="0.25"/>
    <row r="638" ht="18" customHeight="1" x14ac:dyDescent="0.25"/>
    <row r="639" ht="18" customHeight="1" x14ac:dyDescent="0.25"/>
    <row r="640" ht="18" customHeight="1" x14ac:dyDescent="0.25"/>
    <row r="641" ht="18" customHeight="1" x14ac:dyDescent="0.25"/>
    <row r="642" ht="18" customHeight="1" x14ac:dyDescent="0.25"/>
    <row r="643" ht="18" customHeight="1" x14ac:dyDescent="0.25"/>
    <row r="644" ht="18" customHeight="1" x14ac:dyDescent="0.25"/>
    <row r="645" ht="18" customHeight="1" x14ac:dyDescent="0.25"/>
    <row r="646" ht="18" customHeight="1" x14ac:dyDescent="0.25"/>
    <row r="647" ht="18" customHeight="1" x14ac:dyDescent="0.25"/>
    <row r="648" ht="18" customHeight="1" x14ac:dyDescent="0.25"/>
    <row r="649" ht="18" customHeight="1" x14ac:dyDescent="0.25"/>
    <row r="650" ht="18" customHeight="1" x14ac:dyDescent="0.25"/>
    <row r="651" ht="18" customHeight="1" x14ac:dyDescent="0.25"/>
    <row r="652" ht="18" customHeight="1" x14ac:dyDescent="0.25"/>
    <row r="653" ht="18" customHeight="1" x14ac:dyDescent="0.25"/>
    <row r="654" ht="18" customHeight="1" x14ac:dyDescent="0.25"/>
    <row r="655" ht="18" customHeight="1" x14ac:dyDescent="0.25"/>
    <row r="656" ht="18" customHeight="1" x14ac:dyDescent="0.25"/>
    <row r="657" ht="18" customHeight="1" x14ac:dyDescent="0.25"/>
    <row r="658" ht="18" customHeight="1" x14ac:dyDescent="0.25"/>
    <row r="659" ht="18" customHeight="1" x14ac:dyDescent="0.25"/>
    <row r="660" ht="18" customHeight="1" x14ac:dyDescent="0.25"/>
    <row r="661" ht="18" customHeight="1" x14ac:dyDescent="0.25"/>
    <row r="662" ht="18" customHeight="1" x14ac:dyDescent="0.25"/>
    <row r="663" ht="18" customHeight="1" x14ac:dyDescent="0.25"/>
    <row r="664" ht="18" customHeight="1" x14ac:dyDescent="0.25"/>
    <row r="665" ht="18" customHeight="1" x14ac:dyDescent="0.25"/>
    <row r="666" ht="18" customHeight="1" x14ac:dyDescent="0.25"/>
    <row r="667" ht="18" customHeight="1" x14ac:dyDescent="0.25"/>
    <row r="668" ht="18" customHeight="1" x14ac:dyDescent="0.25"/>
    <row r="669" ht="18" customHeight="1" x14ac:dyDescent="0.25"/>
    <row r="670" ht="18" customHeight="1" x14ac:dyDescent="0.25"/>
    <row r="671" ht="18" customHeight="1" x14ac:dyDescent="0.25"/>
    <row r="672" ht="18" customHeight="1" x14ac:dyDescent="0.25"/>
    <row r="673" ht="18" customHeight="1" x14ac:dyDescent="0.25"/>
    <row r="674" ht="18" customHeight="1" x14ac:dyDescent="0.25"/>
    <row r="675" ht="18" customHeight="1" x14ac:dyDescent="0.25"/>
    <row r="676" ht="18" customHeight="1" x14ac:dyDescent="0.25"/>
    <row r="677" ht="18" customHeight="1" x14ac:dyDescent="0.25"/>
    <row r="678" ht="18" customHeight="1" x14ac:dyDescent="0.25"/>
    <row r="679" ht="18" customHeight="1" x14ac:dyDescent="0.25"/>
    <row r="680" ht="18" customHeight="1" x14ac:dyDescent="0.25"/>
    <row r="681" ht="18" customHeight="1" x14ac:dyDescent="0.25"/>
    <row r="682" ht="18" customHeight="1" x14ac:dyDescent="0.25"/>
    <row r="683" ht="18" customHeight="1" x14ac:dyDescent="0.25"/>
    <row r="684" ht="18" customHeight="1" x14ac:dyDescent="0.25"/>
    <row r="685" ht="18" customHeight="1" x14ac:dyDescent="0.25"/>
    <row r="686" ht="18" customHeight="1" x14ac:dyDescent="0.25"/>
    <row r="687" ht="18" customHeight="1" x14ac:dyDescent="0.25"/>
    <row r="688" ht="18" customHeight="1" x14ac:dyDescent="0.25"/>
    <row r="689" ht="18" customHeight="1" x14ac:dyDescent="0.25"/>
    <row r="690" ht="18" customHeight="1" x14ac:dyDescent="0.25"/>
    <row r="691" ht="18" customHeight="1" x14ac:dyDescent="0.25"/>
    <row r="692" ht="18" customHeight="1" x14ac:dyDescent="0.25"/>
    <row r="693" ht="18" customHeight="1" x14ac:dyDescent="0.25"/>
    <row r="694" ht="18" customHeight="1" x14ac:dyDescent="0.25"/>
    <row r="695" ht="18" customHeight="1" x14ac:dyDescent="0.25"/>
    <row r="696" ht="18" customHeight="1" x14ac:dyDescent="0.25"/>
    <row r="697" ht="18" customHeight="1" x14ac:dyDescent="0.25"/>
    <row r="698" ht="18" customHeight="1" x14ac:dyDescent="0.25"/>
    <row r="699" ht="18" customHeight="1" x14ac:dyDescent="0.25"/>
    <row r="700" ht="18" customHeight="1" x14ac:dyDescent="0.25"/>
    <row r="701" ht="18" customHeight="1" x14ac:dyDescent="0.25"/>
    <row r="702" ht="18" customHeight="1" x14ac:dyDescent="0.25"/>
    <row r="703" ht="18" customHeight="1" x14ac:dyDescent="0.25"/>
    <row r="704" ht="18" customHeight="1" x14ac:dyDescent="0.25"/>
    <row r="705" ht="18" customHeight="1" x14ac:dyDescent="0.25"/>
    <row r="706" ht="18" customHeight="1" x14ac:dyDescent="0.25"/>
    <row r="707" ht="18" customHeight="1" x14ac:dyDescent="0.25"/>
    <row r="708" ht="18" customHeight="1" x14ac:dyDescent="0.25"/>
    <row r="709" ht="18" customHeight="1" x14ac:dyDescent="0.25"/>
    <row r="710" ht="18" customHeight="1" x14ac:dyDescent="0.25"/>
    <row r="711" ht="18" customHeight="1" x14ac:dyDescent="0.25"/>
    <row r="712" ht="18" customHeight="1" x14ac:dyDescent="0.25"/>
    <row r="713" ht="18" customHeight="1" x14ac:dyDescent="0.25"/>
    <row r="714" ht="18" customHeight="1" x14ac:dyDescent="0.25"/>
    <row r="715" ht="18" customHeight="1" x14ac:dyDescent="0.25"/>
    <row r="716" ht="18" customHeight="1" x14ac:dyDescent="0.25"/>
    <row r="717" ht="18" customHeight="1" x14ac:dyDescent="0.25"/>
    <row r="718" ht="18" customHeight="1" x14ac:dyDescent="0.25"/>
    <row r="719" ht="18" customHeight="1" x14ac:dyDescent="0.25"/>
    <row r="720" ht="18" customHeight="1" x14ac:dyDescent="0.25"/>
    <row r="721" ht="18" customHeight="1" x14ac:dyDescent="0.25"/>
    <row r="722" ht="18" customHeight="1" x14ac:dyDescent="0.25"/>
    <row r="723" ht="18" customHeight="1" x14ac:dyDescent="0.25"/>
    <row r="724" ht="18" customHeight="1" x14ac:dyDescent="0.25"/>
    <row r="725" ht="18" customHeight="1" x14ac:dyDescent="0.25"/>
    <row r="726" ht="18" customHeight="1" x14ac:dyDescent="0.25"/>
    <row r="727" ht="18" customHeight="1" x14ac:dyDescent="0.25"/>
    <row r="728" ht="18" customHeight="1" x14ac:dyDescent="0.25"/>
    <row r="729" ht="18" customHeight="1" x14ac:dyDescent="0.25"/>
    <row r="730" ht="18" customHeight="1" x14ac:dyDescent="0.25"/>
    <row r="731" ht="18" customHeight="1" x14ac:dyDescent="0.25"/>
    <row r="732" ht="18" customHeight="1" x14ac:dyDescent="0.25"/>
    <row r="733" ht="18" customHeight="1" x14ac:dyDescent="0.25"/>
    <row r="734" ht="18" customHeight="1" x14ac:dyDescent="0.25"/>
    <row r="735" ht="18" customHeight="1" x14ac:dyDescent="0.25"/>
    <row r="736" ht="18" customHeight="1" x14ac:dyDescent="0.25"/>
    <row r="737" ht="18" customHeight="1" x14ac:dyDescent="0.25"/>
    <row r="738" ht="18" customHeight="1" x14ac:dyDescent="0.25"/>
    <row r="739" ht="18" customHeight="1" x14ac:dyDescent="0.25"/>
    <row r="740" ht="18" customHeight="1" x14ac:dyDescent="0.25"/>
    <row r="741" ht="18" customHeight="1" x14ac:dyDescent="0.25"/>
    <row r="742" ht="18" customHeight="1" x14ac:dyDescent="0.25"/>
    <row r="743" ht="18" customHeight="1" x14ac:dyDescent="0.25"/>
    <row r="744" ht="18" customHeight="1" x14ac:dyDescent="0.25"/>
    <row r="745" ht="18" customHeight="1" x14ac:dyDescent="0.25"/>
    <row r="746" ht="18" customHeight="1" x14ac:dyDescent="0.25"/>
    <row r="747" ht="18" customHeight="1" x14ac:dyDescent="0.25"/>
    <row r="748" ht="18" customHeight="1" x14ac:dyDescent="0.25"/>
    <row r="749" ht="18" customHeight="1" x14ac:dyDescent="0.25"/>
    <row r="750" ht="18" customHeight="1" x14ac:dyDescent="0.25"/>
    <row r="751" ht="18" customHeight="1" x14ac:dyDescent="0.25"/>
    <row r="752" ht="18" customHeight="1" x14ac:dyDescent="0.25"/>
    <row r="753" ht="18" customHeight="1" x14ac:dyDescent="0.25"/>
    <row r="754" ht="18" customHeight="1" x14ac:dyDescent="0.25"/>
    <row r="755" ht="18" customHeight="1" x14ac:dyDescent="0.25"/>
    <row r="756" ht="18" customHeight="1" x14ac:dyDescent="0.25"/>
    <row r="757" ht="18" customHeight="1" x14ac:dyDescent="0.25"/>
    <row r="758" ht="18" customHeight="1" x14ac:dyDescent="0.25"/>
    <row r="759" ht="18" customHeight="1" x14ac:dyDescent="0.25"/>
    <row r="760" ht="18" customHeight="1" x14ac:dyDescent="0.25"/>
    <row r="761" ht="18" customHeight="1" x14ac:dyDescent="0.25"/>
    <row r="762" ht="18" customHeight="1" x14ac:dyDescent="0.25"/>
    <row r="763" ht="18" customHeight="1" x14ac:dyDescent="0.25"/>
    <row r="764" ht="18" customHeight="1" x14ac:dyDescent="0.25"/>
    <row r="765" ht="18" customHeight="1" x14ac:dyDescent="0.25"/>
    <row r="766" ht="18" customHeight="1" x14ac:dyDescent="0.25"/>
    <row r="767" ht="18" customHeight="1" x14ac:dyDescent="0.25"/>
    <row r="768" ht="18" customHeight="1" x14ac:dyDescent="0.25"/>
    <row r="769" ht="18" customHeight="1" x14ac:dyDescent="0.25"/>
    <row r="770" ht="18" customHeight="1" x14ac:dyDescent="0.25"/>
    <row r="771" ht="18" customHeight="1" x14ac:dyDescent="0.25"/>
    <row r="772" ht="18" customHeight="1" x14ac:dyDescent="0.25"/>
    <row r="773" ht="18" customHeight="1" x14ac:dyDescent="0.25"/>
    <row r="774" ht="18" customHeight="1" x14ac:dyDescent="0.25"/>
    <row r="775" ht="18" customHeight="1" x14ac:dyDescent="0.25"/>
    <row r="776" ht="18" customHeight="1" x14ac:dyDescent="0.25"/>
    <row r="777" ht="18" customHeight="1" x14ac:dyDescent="0.25"/>
    <row r="778" ht="18" customHeight="1" x14ac:dyDescent="0.25"/>
    <row r="779" ht="18" customHeight="1" x14ac:dyDescent="0.25"/>
    <row r="780" ht="18" customHeight="1" x14ac:dyDescent="0.25"/>
    <row r="781" ht="18" customHeight="1" x14ac:dyDescent="0.25"/>
    <row r="782" ht="18" customHeight="1" x14ac:dyDescent="0.25"/>
    <row r="783" ht="18" customHeight="1" x14ac:dyDescent="0.25"/>
    <row r="784" ht="18" customHeight="1" x14ac:dyDescent="0.25"/>
    <row r="785" ht="18" customHeight="1" x14ac:dyDescent="0.25"/>
    <row r="786" ht="18" customHeight="1" x14ac:dyDescent="0.25"/>
    <row r="787" ht="18" customHeight="1" x14ac:dyDescent="0.25"/>
    <row r="788" ht="18" customHeight="1" x14ac:dyDescent="0.25"/>
    <row r="789" ht="18" customHeight="1" x14ac:dyDescent="0.25"/>
    <row r="790" ht="18" customHeight="1" x14ac:dyDescent="0.25"/>
    <row r="791" ht="18" customHeight="1" x14ac:dyDescent="0.25"/>
    <row r="792" ht="18" customHeight="1" x14ac:dyDescent="0.25"/>
    <row r="793" ht="18" customHeight="1" x14ac:dyDescent="0.25"/>
    <row r="794" ht="18" customHeight="1" x14ac:dyDescent="0.25"/>
    <row r="795" ht="18" customHeight="1" x14ac:dyDescent="0.25"/>
    <row r="796" ht="18" customHeight="1" x14ac:dyDescent="0.25"/>
    <row r="797" ht="18" customHeight="1" x14ac:dyDescent="0.25"/>
    <row r="798" ht="18" customHeight="1" x14ac:dyDescent="0.25"/>
    <row r="799" ht="18" customHeight="1" x14ac:dyDescent="0.25"/>
    <row r="800" ht="18" customHeight="1" x14ac:dyDescent="0.25"/>
    <row r="801" ht="18" customHeight="1" x14ac:dyDescent="0.25"/>
    <row r="802" ht="18" customHeight="1" x14ac:dyDescent="0.25"/>
    <row r="803" ht="18" customHeight="1" x14ac:dyDescent="0.25"/>
    <row r="804" ht="18" customHeight="1" x14ac:dyDescent="0.25"/>
    <row r="805" ht="18" customHeight="1" x14ac:dyDescent="0.25"/>
    <row r="806" ht="18" customHeight="1" x14ac:dyDescent="0.25"/>
    <row r="807" ht="18" customHeight="1" x14ac:dyDescent="0.25"/>
    <row r="808" ht="18" customHeight="1" x14ac:dyDescent="0.25"/>
    <row r="809" ht="18" customHeight="1" x14ac:dyDescent="0.25"/>
    <row r="810" ht="18" customHeight="1" x14ac:dyDescent="0.25"/>
    <row r="811" ht="18" customHeight="1" x14ac:dyDescent="0.25"/>
    <row r="812" ht="18" customHeight="1" x14ac:dyDescent="0.25"/>
    <row r="813" ht="18" customHeight="1" x14ac:dyDescent="0.25"/>
    <row r="814" ht="18" customHeight="1" x14ac:dyDescent="0.25"/>
    <row r="815" ht="18" customHeight="1" x14ac:dyDescent="0.25"/>
    <row r="816" ht="18" customHeight="1" x14ac:dyDescent="0.25"/>
    <row r="817" ht="18" customHeight="1" x14ac:dyDescent="0.25"/>
    <row r="818" ht="18" customHeight="1" x14ac:dyDescent="0.25"/>
    <row r="819" ht="18" customHeight="1" x14ac:dyDescent="0.25"/>
    <row r="820" ht="18" customHeight="1" x14ac:dyDescent="0.25"/>
    <row r="821" ht="18" customHeight="1" x14ac:dyDescent="0.25"/>
    <row r="822" ht="18" customHeight="1" x14ac:dyDescent="0.25"/>
    <row r="823" ht="18" customHeight="1" x14ac:dyDescent="0.25"/>
    <row r="824" ht="18" customHeight="1" x14ac:dyDescent="0.25"/>
    <row r="825" ht="18" customHeight="1" x14ac:dyDescent="0.25"/>
    <row r="826" ht="18" customHeight="1" x14ac:dyDescent="0.25"/>
    <row r="827" ht="18" customHeight="1" x14ac:dyDescent="0.25"/>
    <row r="828" ht="18" customHeight="1" x14ac:dyDescent="0.25"/>
    <row r="829" ht="18" customHeight="1" x14ac:dyDescent="0.25"/>
    <row r="830" ht="18" customHeight="1" x14ac:dyDescent="0.25"/>
    <row r="831" ht="18" customHeight="1" x14ac:dyDescent="0.25"/>
    <row r="832" ht="18" customHeight="1" x14ac:dyDescent="0.25"/>
    <row r="833" ht="18" customHeight="1" x14ac:dyDescent="0.25"/>
    <row r="834" ht="18" customHeight="1" x14ac:dyDescent="0.25"/>
    <row r="835" ht="18" customHeight="1" x14ac:dyDescent="0.25"/>
    <row r="836" ht="18" customHeight="1" x14ac:dyDescent="0.25"/>
    <row r="837" ht="18" customHeight="1" x14ac:dyDescent="0.25"/>
    <row r="838" ht="18" customHeight="1" x14ac:dyDescent="0.25"/>
    <row r="839" ht="18" customHeight="1" x14ac:dyDescent="0.25"/>
    <row r="840" ht="18" customHeight="1" x14ac:dyDescent="0.25"/>
    <row r="841" ht="18" customHeight="1" x14ac:dyDescent="0.25"/>
    <row r="842" ht="18" customHeight="1" x14ac:dyDescent="0.25"/>
    <row r="843" ht="18" customHeight="1" x14ac:dyDescent="0.25"/>
    <row r="844" ht="18" customHeight="1" x14ac:dyDescent="0.25"/>
    <row r="845" ht="18" customHeight="1" x14ac:dyDescent="0.25"/>
    <row r="846" ht="18" customHeight="1" x14ac:dyDescent="0.25"/>
    <row r="847" ht="18" customHeight="1" x14ac:dyDescent="0.25"/>
    <row r="848" ht="18" customHeight="1" x14ac:dyDescent="0.25"/>
    <row r="849" ht="18" customHeight="1" x14ac:dyDescent="0.25"/>
    <row r="850" ht="18" customHeight="1" x14ac:dyDescent="0.25"/>
    <row r="851" ht="18" customHeight="1" x14ac:dyDescent="0.25"/>
    <row r="852" ht="18" customHeight="1" x14ac:dyDescent="0.25"/>
    <row r="853" ht="18" customHeight="1" x14ac:dyDescent="0.25"/>
    <row r="854" ht="18" customHeight="1" x14ac:dyDescent="0.25"/>
    <row r="855" ht="18" customHeight="1" x14ac:dyDescent="0.25"/>
    <row r="856" ht="18" customHeight="1" x14ac:dyDescent="0.25"/>
    <row r="857" ht="18" customHeight="1" x14ac:dyDescent="0.25"/>
    <row r="858" ht="18" customHeight="1" x14ac:dyDescent="0.25"/>
    <row r="859" ht="18" customHeight="1" x14ac:dyDescent="0.25"/>
    <row r="860" ht="18" customHeight="1" x14ac:dyDescent="0.25"/>
    <row r="861" ht="18" customHeight="1" x14ac:dyDescent="0.25"/>
    <row r="862" ht="18" customHeight="1" x14ac:dyDescent="0.25"/>
    <row r="863" ht="18" customHeight="1" x14ac:dyDescent="0.25"/>
    <row r="864" ht="18" customHeight="1" x14ac:dyDescent="0.25"/>
    <row r="865" ht="18" customHeight="1" x14ac:dyDescent="0.25"/>
    <row r="866" ht="18" customHeight="1" x14ac:dyDescent="0.25"/>
    <row r="867" ht="18" customHeight="1" x14ac:dyDescent="0.25"/>
    <row r="868" ht="18" customHeight="1" x14ac:dyDescent="0.25"/>
    <row r="869" ht="18" customHeight="1" x14ac:dyDescent="0.25"/>
    <row r="870" ht="18" customHeight="1" x14ac:dyDescent="0.25"/>
    <row r="871" ht="18" customHeight="1" x14ac:dyDescent="0.25"/>
    <row r="872" ht="18" customHeight="1" x14ac:dyDescent="0.25"/>
    <row r="873" ht="18" customHeight="1" x14ac:dyDescent="0.25"/>
    <row r="874" ht="18" customHeight="1" x14ac:dyDescent="0.25"/>
    <row r="875" ht="18" customHeight="1" x14ac:dyDescent="0.25"/>
    <row r="876" ht="18" customHeight="1" x14ac:dyDescent="0.25"/>
    <row r="877" ht="18" customHeight="1" x14ac:dyDescent="0.25"/>
    <row r="878" ht="18" customHeight="1" x14ac:dyDescent="0.25"/>
    <row r="879" ht="18" customHeight="1" x14ac:dyDescent="0.25"/>
    <row r="880" ht="18" customHeight="1" x14ac:dyDescent="0.25"/>
    <row r="881" ht="18" customHeight="1" x14ac:dyDescent="0.25"/>
    <row r="882" ht="18" customHeight="1" x14ac:dyDescent="0.25"/>
    <row r="883" ht="18" customHeight="1" x14ac:dyDescent="0.25"/>
    <row r="884" ht="18" customHeight="1" x14ac:dyDescent="0.25"/>
    <row r="885" ht="18" customHeight="1" x14ac:dyDescent="0.25"/>
    <row r="886" ht="18" customHeight="1" x14ac:dyDescent="0.25"/>
    <row r="887" ht="18" customHeight="1" x14ac:dyDescent="0.25"/>
    <row r="888" ht="18" customHeight="1" x14ac:dyDescent="0.25"/>
    <row r="889" ht="18" customHeight="1" x14ac:dyDescent="0.25"/>
    <row r="890" ht="18" customHeight="1" x14ac:dyDescent="0.25"/>
    <row r="891" ht="18" customHeight="1" x14ac:dyDescent="0.25"/>
    <row r="892" ht="18" customHeight="1" x14ac:dyDescent="0.25"/>
    <row r="893" ht="18" customHeight="1" x14ac:dyDescent="0.25"/>
    <row r="894" ht="18" customHeight="1" x14ac:dyDescent="0.25"/>
    <row r="895" ht="18" customHeight="1" x14ac:dyDescent="0.25"/>
    <row r="896" ht="18" customHeight="1" x14ac:dyDescent="0.25"/>
    <row r="897" ht="18" customHeight="1" x14ac:dyDescent="0.25"/>
    <row r="898" ht="18" customHeight="1" x14ac:dyDescent="0.25"/>
    <row r="899" ht="18" customHeight="1" x14ac:dyDescent="0.25"/>
    <row r="900" ht="18" customHeight="1" x14ac:dyDescent="0.25"/>
    <row r="901" ht="18" customHeight="1" x14ac:dyDescent="0.25"/>
    <row r="902" ht="18" customHeight="1" x14ac:dyDescent="0.25"/>
    <row r="903" ht="18" customHeight="1" x14ac:dyDescent="0.25"/>
    <row r="904" ht="18" customHeight="1" x14ac:dyDescent="0.25"/>
    <row r="905" ht="18" customHeight="1" x14ac:dyDescent="0.25"/>
    <row r="906" ht="18" customHeight="1" x14ac:dyDescent="0.25"/>
    <row r="907" ht="18" customHeight="1" x14ac:dyDescent="0.25"/>
    <row r="908" ht="18" customHeight="1" x14ac:dyDescent="0.25"/>
    <row r="909" ht="18" customHeight="1" x14ac:dyDescent="0.25"/>
    <row r="910" ht="18" customHeight="1" x14ac:dyDescent="0.25"/>
    <row r="911" ht="18" customHeight="1" x14ac:dyDescent="0.25"/>
    <row r="912" ht="18" customHeight="1" x14ac:dyDescent="0.25"/>
    <row r="913" ht="18" customHeight="1" x14ac:dyDescent="0.25"/>
    <row r="914" ht="18" customHeight="1" x14ac:dyDescent="0.25"/>
    <row r="915" ht="18" customHeight="1" x14ac:dyDescent="0.25"/>
    <row r="916" ht="18" customHeight="1" x14ac:dyDescent="0.25"/>
    <row r="917" ht="18" customHeight="1" x14ac:dyDescent="0.25"/>
    <row r="918" ht="18" customHeight="1" x14ac:dyDescent="0.25"/>
    <row r="919" ht="18" customHeight="1" x14ac:dyDescent="0.25"/>
    <row r="920" ht="18" customHeight="1" x14ac:dyDescent="0.25"/>
    <row r="921" ht="18" customHeight="1" x14ac:dyDescent="0.25"/>
    <row r="922" ht="18" customHeight="1" x14ac:dyDescent="0.25"/>
    <row r="923" ht="18" customHeight="1" x14ac:dyDescent="0.25"/>
    <row r="924" ht="18" customHeight="1" x14ac:dyDescent="0.25"/>
    <row r="925" ht="18" customHeight="1" x14ac:dyDescent="0.25"/>
    <row r="926" ht="18" customHeight="1" x14ac:dyDescent="0.25"/>
    <row r="927" ht="18" customHeight="1" x14ac:dyDescent="0.25"/>
    <row r="928" ht="18" customHeight="1" x14ac:dyDescent="0.25"/>
    <row r="929" ht="18" customHeight="1" x14ac:dyDescent="0.25"/>
    <row r="930" ht="18" customHeight="1" x14ac:dyDescent="0.25"/>
    <row r="931" ht="18" customHeight="1" x14ac:dyDescent="0.25"/>
    <row r="932" ht="18" customHeight="1" x14ac:dyDescent="0.25"/>
    <row r="933" ht="18" customHeight="1" x14ac:dyDescent="0.25"/>
    <row r="934" ht="18" customHeight="1" x14ac:dyDescent="0.25"/>
    <row r="935" ht="18" customHeight="1" x14ac:dyDescent="0.25"/>
    <row r="936" ht="18" customHeight="1" x14ac:dyDescent="0.25"/>
    <row r="937" ht="18" customHeight="1" x14ac:dyDescent="0.25"/>
    <row r="938" ht="18" customHeight="1" x14ac:dyDescent="0.25"/>
    <row r="939" ht="18" customHeight="1" x14ac:dyDescent="0.25"/>
    <row r="940" ht="18" customHeight="1" x14ac:dyDescent="0.25"/>
    <row r="941" ht="18" customHeight="1" x14ac:dyDescent="0.25"/>
    <row r="942" ht="18" customHeight="1" x14ac:dyDescent="0.25"/>
    <row r="943" ht="18" customHeight="1" x14ac:dyDescent="0.25"/>
    <row r="944" ht="18" customHeight="1" x14ac:dyDescent="0.25"/>
    <row r="945" ht="18" customHeight="1" x14ac:dyDescent="0.25"/>
    <row r="946" ht="18" customHeight="1" x14ac:dyDescent="0.25"/>
    <row r="947" ht="18" customHeight="1" x14ac:dyDescent="0.25"/>
    <row r="948" ht="18" customHeight="1" x14ac:dyDescent="0.25"/>
    <row r="949" ht="18" customHeight="1" x14ac:dyDescent="0.25"/>
    <row r="950" ht="18" customHeight="1" x14ac:dyDescent="0.25"/>
    <row r="951" ht="18" customHeight="1" x14ac:dyDescent="0.25"/>
    <row r="952" ht="18" customHeight="1" x14ac:dyDescent="0.25"/>
    <row r="953" ht="18" customHeight="1" x14ac:dyDescent="0.25"/>
    <row r="954" ht="18" customHeight="1" x14ac:dyDescent="0.25"/>
    <row r="955" ht="18" customHeight="1" x14ac:dyDescent="0.25"/>
    <row r="956" ht="18" customHeight="1" x14ac:dyDescent="0.25"/>
    <row r="957" ht="18" customHeight="1" x14ac:dyDescent="0.25"/>
    <row r="958" ht="18" customHeight="1" x14ac:dyDescent="0.25"/>
    <row r="959" ht="18" customHeight="1" x14ac:dyDescent="0.25"/>
    <row r="960" ht="18" customHeight="1" x14ac:dyDescent="0.25"/>
    <row r="961" ht="18" customHeight="1" x14ac:dyDescent="0.25"/>
    <row r="962" ht="18" customHeight="1" x14ac:dyDescent="0.25"/>
    <row r="963" ht="18" customHeight="1" x14ac:dyDescent="0.25"/>
    <row r="964" ht="18" customHeight="1" x14ac:dyDescent="0.25"/>
    <row r="965" ht="18" customHeight="1" x14ac:dyDescent="0.25"/>
  </sheetData>
  <sheetProtection selectLockedCells="1"/>
  <mergeCells count="1023">
    <mergeCell ref="B5:B7"/>
    <mergeCell ref="B35:B37"/>
    <mergeCell ref="B354:B356"/>
    <mergeCell ref="B325:B327"/>
    <mergeCell ref="B296:B298"/>
    <mergeCell ref="B267:B269"/>
    <mergeCell ref="B238:B240"/>
    <mergeCell ref="B209:B211"/>
    <mergeCell ref="B180:B182"/>
    <mergeCell ref="B151:B153"/>
    <mergeCell ref="B122:B124"/>
    <mergeCell ref="B93:B95"/>
    <mergeCell ref="B64:B66"/>
    <mergeCell ref="C34:E34"/>
    <mergeCell ref="F34:Y34"/>
    <mergeCell ref="C63:E63"/>
    <mergeCell ref="F63:Y63"/>
    <mergeCell ref="C92:E92"/>
    <mergeCell ref="C121:E121"/>
    <mergeCell ref="F121:Y121"/>
    <mergeCell ref="C150:E150"/>
    <mergeCell ref="F150:Y150"/>
    <mergeCell ref="C179:E179"/>
    <mergeCell ref="C9:X9"/>
    <mergeCell ref="D23:Q23"/>
    <mergeCell ref="R23:T23"/>
    <mergeCell ref="V23:Y23"/>
    <mergeCell ref="C50:X50"/>
    <mergeCell ref="C38:X38"/>
    <mergeCell ref="C47:X47"/>
    <mergeCell ref="C115:X115"/>
    <mergeCell ref="G124:K124"/>
    <mergeCell ref="AC9:AD9"/>
    <mergeCell ref="AE9:AF9"/>
    <mergeCell ref="C10:X10"/>
    <mergeCell ref="Z2:AA4"/>
    <mergeCell ref="AB2:AD4"/>
    <mergeCell ref="AE2:AF4"/>
    <mergeCell ref="C3:K3"/>
    <mergeCell ref="L3:Y3"/>
    <mergeCell ref="C5:H5"/>
    <mergeCell ref="Z5:Z8"/>
    <mergeCell ref="AA5:AA7"/>
    <mergeCell ref="AB5:AD7"/>
    <mergeCell ref="AE5:AF8"/>
    <mergeCell ref="V6:Y6"/>
    <mergeCell ref="C7:F7"/>
    <mergeCell ref="G7:J7"/>
    <mergeCell ref="C8:X8"/>
    <mergeCell ref="AC8:AD8"/>
    <mergeCell ref="C2:D2"/>
    <mergeCell ref="E2:Y2"/>
    <mergeCell ref="W5:Y5"/>
    <mergeCell ref="C4:E4"/>
    <mergeCell ref="F4:Y4"/>
    <mergeCell ref="AC13:AD13"/>
    <mergeCell ref="AE13:AF13"/>
    <mergeCell ref="F179:Y179"/>
    <mergeCell ref="C14:X14"/>
    <mergeCell ref="AC14:AD14"/>
    <mergeCell ref="AE14:AF14"/>
    <mergeCell ref="C15:X15"/>
    <mergeCell ref="AC15:AD15"/>
    <mergeCell ref="AE15:AF15"/>
    <mergeCell ref="C16:X16"/>
    <mergeCell ref="AC16:AD16"/>
    <mergeCell ref="AE16:AF16"/>
    <mergeCell ref="C13:X13"/>
    <mergeCell ref="AC10:AD10"/>
    <mergeCell ref="AE10:AF10"/>
    <mergeCell ref="C11:X11"/>
    <mergeCell ref="AC11:AD11"/>
    <mergeCell ref="AE11:AF11"/>
    <mergeCell ref="C12:X12"/>
    <mergeCell ref="AC12:AD12"/>
    <mergeCell ref="AE12:AF12"/>
    <mergeCell ref="C32:D32"/>
    <mergeCell ref="E32:Y32"/>
    <mergeCell ref="Z32:AA34"/>
    <mergeCell ref="AB32:AD34"/>
    <mergeCell ref="AE32:AF34"/>
    <mergeCell ref="C33:K33"/>
    <mergeCell ref="L33:Y33"/>
    <mergeCell ref="Z23:AD23"/>
    <mergeCell ref="Z24:AE24"/>
    <mergeCell ref="B25:D25"/>
    <mergeCell ref="B27:F27"/>
    <mergeCell ref="AC17:AD17"/>
    <mergeCell ref="AE17:AF17"/>
    <mergeCell ref="C18:X18"/>
    <mergeCell ref="AC18:AD18"/>
    <mergeCell ref="AE18:AF18"/>
    <mergeCell ref="C19:X19"/>
    <mergeCell ref="AC19:AD19"/>
    <mergeCell ref="AE19:AF19"/>
    <mergeCell ref="D21:G21"/>
    <mergeCell ref="R21:T21"/>
    <mergeCell ref="V21:Y21"/>
    <mergeCell ref="Z21:AD21"/>
    <mergeCell ref="C17:X17"/>
    <mergeCell ref="AA26:AB26"/>
    <mergeCell ref="AC26:AF28"/>
    <mergeCell ref="C49:X49"/>
    <mergeCell ref="AC49:AD49"/>
    <mergeCell ref="AE49:AF49"/>
    <mergeCell ref="C40:X40"/>
    <mergeCell ref="AC40:AD40"/>
    <mergeCell ref="AE40:AF40"/>
    <mergeCell ref="C41:X41"/>
    <mergeCell ref="AC41:AD41"/>
    <mergeCell ref="AE41:AF41"/>
    <mergeCell ref="C42:X42"/>
    <mergeCell ref="AC42:AD42"/>
    <mergeCell ref="AE42:AF42"/>
    <mergeCell ref="Z35:Z38"/>
    <mergeCell ref="AA35:AA37"/>
    <mergeCell ref="AB35:AD37"/>
    <mergeCell ref="AE35:AF38"/>
    <mergeCell ref="C37:F37"/>
    <mergeCell ref="AC38:AD38"/>
    <mergeCell ref="G37:K37"/>
    <mergeCell ref="AC39:AD39"/>
    <mergeCell ref="AE39:AF39"/>
    <mergeCell ref="C39:X39"/>
    <mergeCell ref="C35:Y36"/>
    <mergeCell ref="AC43:AD43"/>
    <mergeCell ref="AE43:AF43"/>
    <mergeCell ref="C44:X44"/>
    <mergeCell ref="AC44:AD44"/>
    <mergeCell ref="AE44:AF44"/>
    <mergeCell ref="C45:X45"/>
    <mergeCell ref="AC45:AD45"/>
    <mergeCell ref="AE45:AF45"/>
    <mergeCell ref="C46:X46"/>
    <mergeCell ref="AC46:AD46"/>
    <mergeCell ref="AE46:AF46"/>
    <mergeCell ref="C43:X43"/>
    <mergeCell ref="AC47:AD47"/>
    <mergeCell ref="AE47:AF47"/>
    <mergeCell ref="C48:X48"/>
    <mergeCell ref="AC48:AD48"/>
    <mergeCell ref="AE48:AF48"/>
    <mergeCell ref="C77:X77"/>
    <mergeCell ref="AC77:AD77"/>
    <mergeCell ref="AE77:AF77"/>
    <mergeCell ref="C78:X78"/>
    <mergeCell ref="AC78:AD78"/>
    <mergeCell ref="AE78:AF78"/>
    <mergeCell ref="AC50:AD50"/>
    <mergeCell ref="AE50:AF50"/>
    <mergeCell ref="C68:X68"/>
    <mergeCell ref="AC68:AD68"/>
    <mergeCell ref="C67:X67"/>
    <mergeCell ref="AC67:AD67"/>
    <mergeCell ref="AE68:AF68"/>
    <mergeCell ref="AE57:AF57"/>
    <mergeCell ref="C58:X58"/>
    <mergeCell ref="AC58:AD58"/>
    <mergeCell ref="AE58:AF58"/>
    <mergeCell ref="C52:X52"/>
    <mergeCell ref="AC52:AD52"/>
    <mergeCell ref="AE52:AF52"/>
    <mergeCell ref="C53:X53"/>
    <mergeCell ref="AE69:AF69"/>
    <mergeCell ref="C70:X70"/>
    <mergeCell ref="AC70:AD70"/>
    <mergeCell ref="C57:X57"/>
    <mergeCell ref="AC57:AD57"/>
    <mergeCell ref="C61:D61"/>
    <mergeCell ref="AC115:AD115"/>
    <mergeCell ref="AE115:AF115"/>
    <mergeCell ref="AC108:AD108"/>
    <mergeCell ref="AE108:AF108"/>
    <mergeCell ref="C109:X109"/>
    <mergeCell ref="AC109:AD109"/>
    <mergeCell ref="AE109:AF109"/>
    <mergeCell ref="C110:X110"/>
    <mergeCell ref="AC110:AD110"/>
    <mergeCell ref="AE110:AF110"/>
    <mergeCell ref="C111:X111"/>
    <mergeCell ref="AC111:AD111"/>
    <mergeCell ref="AE111:AF111"/>
    <mergeCell ref="C112:X112"/>
    <mergeCell ref="AC112:AD112"/>
    <mergeCell ref="AE112:AF112"/>
    <mergeCell ref="C113:X113"/>
    <mergeCell ref="AC113:AD113"/>
    <mergeCell ref="AE113:AF113"/>
    <mergeCell ref="C108:X108"/>
    <mergeCell ref="AC53:AD53"/>
    <mergeCell ref="AB61:AD63"/>
    <mergeCell ref="AE61:AF63"/>
    <mergeCell ref="C62:K62"/>
    <mergeCell ref="L62:Y62"/>
    <mergeCell ref="C51:X51"/>
    <mergeCell ref="AE53:AF53"/>
    <mergeCell ref="AC51:AD51"/>
    <mergeCell ref="AE51:AF51"/>
    <mergeCell ref="C64:Y65"/>
    <mergeCell ref="C114:X114"/>
    <mergeCell ref="AC114:AD114"/>
    <mergeCell ref="AE114:AF114"/>
    <mergeCell ref="F92:Y92"/>
    <mergeCell ref="AC105:AD105"/>
    <mergeCell ref="AE105:AF105"/>
    <mergeCell ref="AE98:AF98"/>
    <mergeCell ref="AC100:AD100"/>
    <mergeCell ref="AE100:AF100"/>
    <mergeCell ref="C101:X101"/>
    <mergeCell ref="AC74:AD74"/>
    <mergeCell ref="AE74:AF74"/>
    <mergeCell ref="C75:X75"/>
    <mergeCell ref="AC75:AD75"/>
    <mergeCell ref="AE75:AF75"/>
    <mergeCell ref="C76:X76"/>
    <mergeCell ref="AC76:AD76"/>
    <mergeCell ref="AE76:AF76"/>
    <mergeCell ref="AA64:AA66"/>
    <mergeCell ref="AB64:AD66"/>
    <mergeCell ref="AE64:AF67"/>
    <mergeCell ref="C66:F66"/>
    <mergeCell ref="C116:X116"/>
    <mergeCell ref="AC116:AD116"/>
    <mergeCell ref="AE116:AF116"/>
    <mergeCell ref="Z93:Z96"/>
    <mergeCell ref="AA93:AA95"/>
    <mergeCell ref="AB93:AD95"/>
    <mergeCell ref="AE93:AF96"/>
    <mergeCell ref="C54:X54"/>
    <mergeCell ref="AC54:AD54"/>
    <mergeCell ref="AE54:AF54"/>
    <mergeCell ref="C55:X55"/>
    <mergeCell ref="AC55:AD55"/>
    <mergeCell ref="AE55:AF55"/>
    <mergeCell ref="C56:X56"/>
    <mergeCell ref="AC56:AD56"/>
    <mergeCell ref="AE56:AF56"/>
    <mergeCell ref="AE84:AF84"/>
    <mergeCell ref="C85:X85"/>
    <mergeCell ref="AC85:AD85"/>
    <mergeCell ref="AE85:AF85"/>
    <mergeCell ref="C81:X81"/>
    <mergeCell ref="AC81:AD81"/>
    <mergeCell ref="AE81:AF81"/>
    <mergeCell ref="AC99:AD99"/>
    <mergeCell ref="C100:X100"/>
    <mergeCell ref="AE99:AF99"/>
    <mergeCell ref="C80:X80"/>
    <mergeCell ref="AC80:AD80"/>
    <mergeCell ref="AE80:AF80"/>
    <mergeCell ref="E61:Y61"/>
    <mergeCell ref="Z61:AA63"/>
    <mergeCell ref="Z64:Z67"/>
    <mergeCell ref="G66:K66"/>
    <mergeCell ref="C71:X71"/>
    <mergeCell ref="AC71:AD71"/>
    <mergeCell ref="AE71:AF71"/>
    <mergeCell ref="C72:X72"/>
    <mergeCell ref="AC72:AD72"/>
    <mergeCell ref="AE72:AF72"/>
    <mergeCell ref="C69:X69"/>
    <mergeCell ref="AE70:AF70"/>
    <mergeCell ref="AC82:AD82"/>
    <mergeCell ref="AE82:AF82"/>
    <mergeCell ref="C83:X83"/>
    <mergeCell ref="AC83:AD83"/>
    <mergeCell ref="AE83:AF83"/>
    <mergeCell ref="C82:X82"/>
    <mergeCell ref="C79:X79"/>
    <mergeCell ref="AC79:AD79"/>
    <mergeCell ref="AE79:AF79"/>
    <mergeCell ref="AC69:AD69"/>
    <mergeCell ref="AC73:AD73"/>
    <mergeCell ref="AE73:AF73"/>
    <mergeCell ref="C74:X74"/>
    <mergeCell ref="C105:X105"/>
    <mergeCell ref="C86:X86"/>
    <mergeCell ref="AC86:AD86"/>
    <mergeCell ref="AE86:AF86"/>
    <mergeCell ref="C87:X87"/>
    <mergeCell ref="AC87:AD87"/>
    <mergeCell ref="AE87:AF87"/>
    <mergeCell ref="C90:D90"/>
    <mergeCell ref="E90:Y90"/>
    <mergeCell ref="Z90:AA92"/>
    <mergeCell ref="AB90:AD92"/>
    <mergeCell ref="AE90:AF92"/>
    <mergeCell ref="C91:K91"/>
    <mergeCell ref="L91:Y91"/>
    <mergeCell ref="C93:Y94"/>
    <mergeCell ref="C73:X73"/>
    <mergeCell ref="C95:F95"/>
    <mergeCell ref="C84:X84"/>
    <mergeCell ref="AC84:AD84"/>
    <mergeCell ref="G95:K95"/>
    <mergeCell ref="AC101:AD101"/>
    <mergeCell ref="AE101:AF101"/>
    <mergeCell ref="C102:X102"/>
    <mergeCell ref="AC102:AD102"/>
    <mergeCell ref="AE102:AF102"/>
    <mergeCell ref="C103:X103"/>
    <mergeCell ref="AC103:AD103"/>
    <mergeCell ref="AE103:AF103"/>
    <mergeCell ref="C99:X99"/>
    <mergeCell ref="C125:X125"/>
    <mergeCell ref="AC125:AD125"/>
    <mergeCell ref="C126:X126"/>
    <mergeCell ref="AC126:AD126"/>
    <mergeCell ref="AE126:AF126"/>
    <mergeCell ref="C127:X127"/>
    <mergeCell ref="AC127:AD127"/>
    <mergeCell ref="AE127:AF127"/>
    <mergeCell ref="AH3:AM19"/>
    <mergeCell ref="C106:X106"/>
    <mergeCell ref="AC106:AD106"/>
    <mergeCell ref="AE106:AF106"/>
    <mergeCell ref="C107:X107"/>
    <mergeCell ref="AC107:AD107"/>
    <mergeCell ref="AE107:AF107"/>
    <mergeCell ref="R26:Y26"/>
    <mergeCell ref="R27:Y27"/>
    <mergeCell ref="H26:P26"/>
    <mergeCell ref="H27:P27"/>
    <mergeCell ref="H29:P29"/>
    <mergeCell ref="R29:Y29"/>
    <mergeCell ref="Z29:AE29"/>
    <mergeCell ref="AC104:AD104"/>
    <mergeCell ref="AE104:AF104"/>
    <mergeCell ref="C104:X104"/>
    <mergeCell ref="C96:X96"/>
    <mergeCell ref="AC96:AD96"/>
    <mergeCell ref="C97:X97"/>
    <mergeCell ref="AC97:AD97"/>
    <mergeCell ref="AE97:AF97"/>
    <mergeCell ref="C98:X98"/>
    <mergeCell ref="AC98:AD98"/>
    <mergeCell ref="C131:X131"/>
    <mergeCell ref="AC131:AD131"/>
    <mergeCell ref="AE131:AF131"/>
    <mergeCell ref="C132:X132"/>
    <mergeCell ref="AC132:AD132"/>
    <mergeCell ref="AE132:AF132"/>
    <mergeCell ref="C133:X133"/>
    <mergeCell ref="AC133:AD133"/>
    <mergeCell ref="AE133:AF133"/>
    <mergeCell ref="C128:X128"/>
    <mergeCell ref="AC128:AD128"/>
    <mergeCell ref="AE128:AF128"/>
    <mergeCell ref="C129:X129"/>
    <mergeCell ref="AC129:AD129"/>
    <mergeCell ref="AE129:AF129"/>
    <mergeCell ref="C130:X130"/>
    <mergeCell ref="AC130:AD130"/>
    <mergeCell ref="AE130:AF130"/>
    <mergeCell ref="C137:X137"/>
    <mergeCell ref="AC137:AD137"/>
    <mergeCell ref="AE137:AF137"/>
    <mergeCell ref="C138:X138"/>
    <mergeCell ref="AC138:AD138"/>
    <mergeCell ref="AE138:AF138"/>
    <mergeCell ref="C139:X139"/>
    <mergeCell ref="AC139:AD139"/>
    <mergeCell ref="AE139:AF139"/>
    <mergeCell ref="C134:X134"/>
    <mergeCell ref="AC134:AD134"/>
    <mergeCell ref="AE134:AF134"/>
    <mergeCell ref="C135:X135"/>
    <mergeCell ref="AC135:AD135"/>
    <mergeCell ref="AE135:AF135"/>
    <mergeCell ref="C136:X136"/>
    <mergeCell ref="AC136:AD136"/>
    <mergeCell ref="AE136:AF136"/>
    <mergeCell ref="C154:X154"/>
    <mergeCell ref="AC154:AD154"/>
    <mergeCell ref="C155:X155"/>
    <mergeCell ref="AC155:AD155"/>
    <mergeCell ref="AE155:AF155"/>
    <mergeCell ref="C156:X156"/>
    <mergeCell ref="AC156:AD156"/>
    <mergeCell ref="AE156:AF156"/>
    <mergeCell ref="C143:X143"/>
    <mergeCell ref="AC143:AD143"/>
    <mergeCell ref="AE143:AF143"/>
    <mergeCell ref="C144:X144"/>
    <mergeCell ref="AC144:AD144"/>
    <mergeCell ref="AE144:AF144"/>
    <mergeCell ref="C140:X140"/>
    <mergeCell ref="AC140:AD140"/>
    <mergeCell ref="AE140:AF140"/>
    <mergeCell ref="C141:X141"/>
    <mergeCell ref="AC141:AD141"/>
    <mergeCell ref="AE141:AF141"/>
    <mergeCell ref="C142:X142"/>
    <mergeCell ref="AC142:AD142"/>
    <mergeCell ref="AE142:AF142"/>
    <mergeCell ref="C160:X160"/>
    <mergeCell ref="AC160:AD160"/>
    <mergeCell ref="AE160:AF160"/>
    <mergeCell ref="C161:X161"/>
    <mergeCell ref="AC161:AD161"/>
    <mergeCell ref="AE161:AF161"/>
    <mergeCell ref="C162:X162"/>
    <mergeCell ref="AC162:AD162"/>
    <mergeCell ref="AE162:AF162"/>
    <mergeCell ref="C157:X157"/>
    <mergeCell ref="AC157:AD157"/>
    <mergeCell ref="AE157:AF157"/>
    <mergeCell ref="C158:X158"/>
    <mergeCell ref="AC158:AD158"/>
    <mergeCell ref="AE158:AF158"/>
    <mergeCell ref="C159:X159"/>
    <mergeCell ref="AC159:AD159"/>
    <mergeCell ref="AE159:AF159"/>
    <mergeCell ref="AE170:AF170"/>
    <mergeCell ref="C171:X171"/>
    <mergeCell ref="AC171:AD171"/>
    <mergeCell ref="AE171:AF171"/>
    <mergeCell ref="C166:X166"/>
    <mergeCell ref="AC166:AD166"/>
    <mergeCell ref="AE166:AF166"/>
    <mergeCell ref="C167:X167"/>
    <mergeCell ref="AC167:AD167"/>
    <mergeCell ref="AE167:AF167"/>
    <mergeCell ref="C168:X168"/>
    <mergeCell ref="AC168:AD168"/>
    <mergeCell ref="AE168:AF168"/>
    <mergeCell ref="C163:X163"/>
    <mergeCell ref="AC163:AD163"/>
    <mergeCell ref="AE163:AF163"/>
    <mergeCell ref="C164:X164"/>
    <mergeCell ref="AC164:AD164"/>
    <mergeCell ref="AE164:AF164"/>
    <mergeCell ref="C165:X165"/>
    <mergeCell ref="AC165:AD165"/>
    <mergeCell ref="AE165:AF165"/>
    <mergeCell ref="C186:X186"/>
    <mergeCell ref="AC186:AD186"/>
    <mergeCell ref="AE186:AF186"/>
    <mergeCell ref="C187:X187"/>
    <mergeCell ref="AC187:AD187"/>
    <mergeCell ref="AE187:AF187"/>
    <mergeCell ref="C188:X188"/>
    <mergeCell ref="AC188:AD188"/>
    <mergeCell ref="AE188:AF188"/>
    <mergeCell ref="C183:X183"/>
    <mergeCell ref="AC183:AD183"/>
    <mergeCell ref="C184:X184"/>
    <mergeCell ref="AC184:AD184"/>
    <mergeCell ref="AE184:AF184"/>
    <mergeCell ref="C185:X185"/>
    <mergeCell ref="AC185:AD185"/>
    <mergeCell ref="AE185:AF185"/>
    <mergeCell ref="C192:X192"/>
    <mergeCell ref="AC192:AD192"/>
    <mergeCell ref="AE192:AF192"/>
    <mergeCell ref="C193:X193"/>
    <mergeCell ref="AC193:AD193"/>
    <mergeCell ref="AE193:AF193"/>
    <mergeCell ref="C194:X194"/>
    <mergeCell ref="AC194:AD194"/>
    <mergeCell ref="AE194:AF194"/>
    <mergeCell ref="C189:X189"/>
    <mergeCell ref="AC189:AD189"/>
    <mergeCell ref="AE189:AF189"/>
    <mergeCell ref="C190:X190"/>
    <mergeCell ref="AC190:AD190"/>
    <mergeCell ref="AE190:AF190"/>
    <mergeCell ref="C191:X191"/>
    <mergeCell ref="AC191:AD191"/>
    <mergeCell ref="AE191:AF191"/>
    <mergeCell ref="C198:X198"/>
    <mergeCell ref="AC198:AD198"/>
    <mergeCell ref="AE198:AF198"/>
    <mergeCell ref="C199:X199"/>
    <mergeCell ref="AC199:AD199"/>
    <mergeCell ref="AE199:AF199"/>
    <mergeCell ref="C200:X200"/>
    <mergeCell ref="AC200:AD200"/>
    <mergeCell ref="AE200:AF200"/>
    <mergeCell ref="C195:X195"/>
    <mergeCell ref="AC195:AD195"/>
    <mergeCell ref="AE195:AF195"/>
    <mergeCell ref="C196:X196"/>
    <mergeCell ref="AC196:AD196"/>
    <mergeCell ref="AE196:AF196"/>
    <mergeCell ref="C197:X197"/>
    <mergeCell ref="AC197:AD197"/>
    <mergeCell ref="AE197:AF197"/>
    <mergeCell ref="C201:X201"/>
    <mergeCell ref="AC201:AD201"/>
    <mergeCell ref="AE201:AF201"/>
    <mergeCell ref="C202:X202"/>
    <mergeCell ref="AC202:AD202"/>
    <mergeCell ref="AE202:AF202"/>
    <mergeCell ref="C119:D119"/>
    <mergeCell ref="E119:Y119"/>
    <mergeCell ref="Z119:AA121"/>
    <mergeCell ref="AB119:AD121"/>
    <mergeCell ref="AE119:AF121"/>
    <mergeCell ref="C120:K120"/>
    <mergeCell ref="L120:Y120"/>
    <mergeCell ref="C122:Y123"/>
    <mergeCell ref="Z122:Z125"/>
    <mergeCell ref="AA122:AA124"/>
    <mergeCell ref="AB122:AD124"/>
    <mergeCell ref="AE122:AF125"/>
    <mergeCell ref="C124:F124"/>
    <mergeCell ref="C180:Y181"/>
    <mergeCell ref="Z180:Z183"/>
    <mergeCell ref="AA180:AA182"/>
    <mergeCell ref="AB180:AD182"/>
    <mergeCell ref="AE180:AF183"/>
    <mergeCell ref="C182:F182"/>
    <mergeCell ref="G182:K182"/>
    <mergeCell ref="C151:Y152"/>
    <mergeCell ref="Z151:Z154"/>
    <mergeCell ref="AA151:AA153"/>
    <mergeCell ref="AB151:AD153"/>
    <mergeCell ref="C174:X174"/>
    <mergeCell ref="AC174:AD174"/>
    <mergeCell ref="AE174:AF174"/>
    <mergeCell ref="C177:D177"/>
    <mergeCell ref="E177:Y177"/>
    <mergeCell ref="Z177:AA179"/>
    <mergeCell ref="AB177:AD179"/>
    <mergeCell ref="AE177:AF179"/>
    <mergeCell ref="C178:K178"/>
    <mergeCell ref="L178:Y178"/>
    <mergeCell ref="C145:X145"/>
    <mergeCell ref="AC145:AD145"/>
    <mergeCell ref="AE145:AF145"/>
    <mergeCell ref="C148:D148"/>
    <mergeCell ref="E148:Y148"/>
    <mergeCell ref="Z148:AA150"/>
    <mergeCell ref="AB148:AD150"/>
    <mergeCell ref="AE148:AF150"/>
    <mergeCell ref="C149:K149"/>
    <mergeCell ref="L149:Y149"/>
    <mergeCell ref="AE151:AF154"/>
    <mergeCell ref="C153:F153"/>
    <mergeCell ref="G153:K153"/>
    <mergeCell ref="C172:X172"/>
    <mergeCell ref="AC172:AD172"/>
    <mergeCell ref="AE172:AF172"/>
    <mergeCell ref="C173:X173"/>
    <mergeCell ref="AC173:AD173"/>
    <mergeCell ref="AE173:AF173"/>
    <mergeCell ref="C169:X169"/>
    <mergeCell ref="AC169:AD169"/>
    <mergeCell ref="AE169:AF169"/>
    <mergeCell ref="C170:X170"/>
    <mergeCell ref="AC170:AD170"/>
    <mergeCell ref="C209:Y210"/>
    <mergeCell ref="Z209:Z212"/>
    <mergeCell ref="AA209:AA211"/>
    <mergeCell ref="AB209:AD211"/>
    <mergeCell ref="AE209:AF212"/>
    <mergeCell ref="C211:F211"/>
    <mergeCell ref="G211:K211"/>
    <mergeCell ref="C212:X212"/>
    <mergeCell ref="AC212:AD212"/>
    <mergeCell ref="C203:X203"/>
    <mergeCell ref="AC203:AD203"/>
    <mergeCell ref="AE203:AF203"/>
    <mergeCell ref="C206:D206"/>
    <mergeCell ref="E206:Y206"/>
    <mergeCell ref="Z206:AA208"/>
    <mergeCell ref="AB206:AD208"/>
    <mergeCell ref="AE206:AF208"/>
    <mergeCell ref="C207:K207"/>
    <mergeCell ref="L207:Y207"/>
    <mergeCell ref="C208:E208"/>
    <mergeCell ref="F208:Y208"/>
    <mergeCell ref="C216:X216"/>
    <mergeCell ref="AC216:AD216"/>
    <mergeCell ref="AE216:AF216"/>
    <mergeCell ref="C217:X217"/>
    <mergeCell ref="AC217:AD217"/>
    <mergeCell ref="AE217:AF217"/>
    <mergeCell ref="C218:X218"/>
    <mergeCell ref="AC218:AD218"/>
    <mergeCell ref="AE218:AF218"/>
    <mergeCell ref="C213:X213"/>
    <mergeCell ref="AC213:AD213"/>
    <mergeCell ref="AE213:AF213"/>
    <mergeCell ref="C214:X214"/>
    <mergeCell ref="AC214:AD214"/>
    <mergeCell ref="AE214:AF214"/>
    <mergeCell ref="C215:X215"/>
    <mergeCell ref="AC215:AD215"/>
    <mergeCell ref="AE215:AF215"/>
    <mergeCell ref="C222:X222"/>
    <mergeCell ref="AC222:AD222"/>
    <mergeCell ref="AE222:AF222"/>
    <mergeCell ref="C223:X223"/>
    <mergeCell ref="AC223:AD223"/>
    <mergeCell ref="AE223:AF223"/>
    <mergeCell ref="C224:X224"/>
    <mergeCell ref="AC224:AD224"/>
    <mergeCell ref="AE224:AF224"/>
    <mergeCell ref="C219:X219"/>
    <mergeCell ref="AC219:AD219"/>
    <mergeCell ref="AE219:AF219"/>
    <mergeCell ref="C220:X220"/>
    <mergeCell ref="AC220:AD220"/>
    <mergeCell ref="AE220:AF220"/>
    <mergeCell ref="C221:X221"/>
    <mergeCell ref="AC221:AD221"/>
    <mergeCell ref="AE221:AF221"/>
    <mergeCell ref="C228:X228"/>
    <mergeCell ref="AC228:AD228"/>
    <mergeCell ref="AE228:AF228"/>
    <mergeCell ref="C229:X229"/>
    <mergeCell ref="AC229:AD229"/>
    <mergeCell ref="AE229:AF229"/>
    <mergeCell ref="C230:X230"/>
    <mergeCell ref="AC230:AD230"/>
    <mergeCell ref="AE230:AF230"/>
    <mergeCell ref="C225:X225"/>
    <mergeCell ref="AC225:AD225"/>
    <mergeCell ref="AE225:AF225"/>
    <mergeCell ref="C226:X226"/>
    <mergeCell ref="AC226:AD226"/>
    <mergeCell ref="AE226:AF226"/>
    <mergeCell ref="C227:X227"/>
    <mergeCell ref="AC227:AD227"/>
    <mergeCell ref="AE227:AF227"/>
    <mergeCell ref="C238:Y239"/>
    <mergeCell ref="Z238:Z241"/>
    <mergeCell ref="AA238:AA240"/>
    <mergeCell ref="AB238:AD240"/>
    <mergeCell ref="AE238:AF241"/>
    <mergeCell ref="C240:F240"/>
    <mergeCell ref="G240:K240"/>
    <mergeCell ref="C241:X241"/>
    <mergeCell ref="AC241:AD241"/>
    <mergeCell ref="C231:X231"/>
    <mergeCell ref="AC231:AD231"/>
    <mergeCell ref="AE231:AF231"/>
    <mergeCell ref="C232:X232"/>
    <mergeCell ref="AC232:AD232"/>
    <mergeCell ref="AE232:AF232"/>
    <mergeCell ref="C235:D235"/>
    <mergeCell ref="E235:Y235"/>
    <mergeCell ref="Z235:AA237"/>
    <mergeCell ref="AB235:AD237"/>
    <mergeCell ref="AE235:AF237"/>
    <mergeCell ref="C236:K236"/>
    <mergeCell ref="L236:Y236"/>
    <mergeCell ref="C237:E237"/>
    <mergeCell ref="F237:Y237"/>
    <mergeCell ref="C245:X245"/>
    <mergeCell ref="AC245:AD245"/>
    <mergeCell ref="AE245:AF245"/>
    <mergeCell ref="C246:X246"/>
    <mergeCell ref="AC246:AD246"/>
    <mergeCell ref="AE246:AF246"/>
    <mergeCell ref="C247:X247"/>
    <mergeCell ref="AC247:AD247"/>
    <mergeCell ref="AE247:AF247"/>
    <mergeCell ref="C242:X242"/>
    <mergeCell ref="AC242:AD242"/>
    <mergeCell ref="AE242:AF242"/>
    <mergeCell ref="C243:X243"/>
    <mergeCell ref="AC243:AD243"/>
    <mergeCell ref="AE243:AF243"/>
    <mergeCell ref="C244:X244"/>
    <mergeCell ref="AC244:AD244"/>
    <mergeCell ref="AE244:AF244"/>
    <mergeCell ref="C251:X251"/>
    <mergeCell ref="AC251:AD251"/>
    <mergeCell ref="AE251:AF251"/>
    <mergeCell ref="C252:X252"/>
    <mergeCell ref="AC252:AD252"/>
    <mergeCell ref="AE252:AF252"/>
    <mergeCell ref="C253:X253"/>
    <mergeCell ref="AC253:AD253"/>
    <mergeCell ref="AE253:AF253"/>
    <mergeCell ref="C248:X248"/>
    <mergeCell ref="AC248:AD248"/>
    <mergeCell ref="AE248:AF248"/>
    <mergeCell ref="C249:X249"/>
    <mergeCell ref="AC249:AD249"/>
    <mergeCell ref="AE249:AF249"/>
    <mergeCell ref="C250:X250"/>
    <mergeCell ref="AC250:AD250"/>
    <mergeCell ref="AE250:AF250"/>
    <mergeCell ref="C257:X257"/>
    <mergeCell ref="AC257:AD257"/>
    <mergeCell ref="AE257:AF257"/>
    <mergeCell ref="C258:X258"/>
    <mergeCell ref="AC258:AD258"/>
    <mergeCell ref="AE258:AF258"/>
    <mergeCell ref="C259:X259"/>
    <mergeCell ref="AC259:AD259"/>
    <mergeCell ref="AE259:AF259"/>
    <mergeCell ref="C254:X254"/>
    <mergeCell ref="AC254:AD254"/>
    <mergeCell ref="AE254:AF254"/>
    <mergeCell ref="C255:X255"/>
    <mergeCell ref="AC255:AD255"/>
    <mergeCell ref="AE255:AF255"/>
    <mergeCell ref="C256:X256"/>
    <mergeCell ref="AC256:AD256"/>
    <mergeCell ref="AE256:AF256"/>
    <mergeCell ref="C267:Y268"/>
    <mergeCell ref="Z267:Z270"/>
    <mergeCell ref="AA267:AA269"/>
    <mergeCell ref="AB267:AD269"/>
    <mergeCell ref="AE267:AF270"/>
    <mergeCell ref="C269:F269"/>
    <mergeCell ref="G269:K269"/>
    <mergeCell ref="C270:X270"/>
    <mergeCell ref="AC270:AD270"/>
    <mergeCell ref="C260:X260"/>
    <mergeCell ref="AC260:AD260"/>
    <mergeCell ref="AE260:AF260"/>
    <mergeCell ref="C261:X261"/>
    <mergeCell ref="AC261:AD261"/>
    <mergeCell ref="AE261:AF261"/>
    <mergeCell ref="C264:D264"/>
    <mergeCell ref="E264:Y264"/>
    <mergeCell ref="Z264:AA266"/>
    <mergeCell ref="AB264:AD266"/>
    <mergeCell ref="AE264:AF266"/>
    <mergeCell ref="C265:K265"/>
    <mergeCell ref="L265:Y265"/>
    <mergeCell ref="F266:Y266"/>
    <mergeCell ref="C266:E266"/>
    <mergeCell ref="C274:X274"/>
    <mergeCell ref="AC274:AD274"/>
    <mergeCell ref="AE274:AF274"/>
    <mergeCell ref="C275:X275"/>
    <mergeCell ref="AC275:AD275"/>
    <mergeCell ref="AE275:AF275"/>
    <mergeCell ref="C276:X276"/>
    <mergeCell ref="AC276:AD276"/>
    <mergeCell ref="AE276:AF276"/>
    <mergeCell ref="C271:X271"/>
    <mergeCell ref="AC271:AD271"/>
    <mergeCell ref="AE271:AF271"/>
    <mergeCell ref="C272:X272"/>
    <mergeCell ref="AC272:AD272"/>
    <mergeCell ref="AE272:AF272"/>
    <mergeCell ref="C273:X273"/>
    <mergeCell ref="AC273:AD273"/>
    <mergeCell ref="AE273:AF273"/>
    <mergeCell ref="C280:X280"/>
    <mergeCell ref="AC280:AD280"/>
    <mergeCell ref="AE280:AF280"/>
    <mergeCell ref="C281:X281"/>
    <mergeCell ref="AC281:AD281"/>
    <mergeCell ref="AE281:AF281"/>
    <mergeCell ref="C282:X282"/>
    <mergeCell ref="AC282:AD282"/>
    <mergeCell ref="AE282:AF282"/>
    <mergeCell ref="C277:X277"/>
    <mergeCell ref="AC277:AD277"/>
    <mergeCell ref="AE277:AF277"/>
    <mergeCell ref="C278:X278"/>
    <mergeCell ref="AC278:AD278"/>
    <mergeCell ref="AE278:AF278"/>
    <mergeCell ref="C279:X279"/>
    <mergeCell ref="AC279:AD279"/>
    <mergeCell ref="AE279:AF279"/>
    <mergeCell ref="C286:X286"/>
    <mergeCell ref="AC286:AD286"/>
    <mergeCell ref="AE286:AF286"/>
    <mergeCell ref="C287:X287"/>
    <mergeCell ref="AC287:AD287"/>
    <mergeCell ref="AE287:AF287"/>
    <mergeCell ref="C288:X288"/>
    <mergeCell ref="AC288:AD288"/>
    <mergeCell ref="AE288:AF288"/>
    <mergeCell ref="C283:X283"/>
    <mergeCell ref="AC283:AD283"/>
    <mergeCell ref="AE283:AF283"/>
    <mergeCell ref="C284:X284"/>
    <mergeCell ref="AC284:AD284"/>
    <mergeCell ref="AE284:AF284"/>
    <mergeCell ref="C285:X285"/>
    <mergeCell ref="AC285:AD285"/>
    <mergeCell ref="AE285:AF285"/>
    <mergeCell ref="C296:Y297"/>
    <mergeCell ref="Z296:Z299"/>
    <mergeCell ref="AA296:AA298"/>
    <mergeCell ref="AB296:AD298"/>
    <mergeCell ref="AE296:AF299"/>
    <mergeCell ref="C298:F298"/>
    <mergeCell ref="G298:K298"/>
    <mergeCell ref="C299:X299"/>
    <mergeCell ref="AC299:AD299"/>
    <mergeCell ref="C289:X289"/>
    <mergeCell ref="AC289:AD289"/>
    <mergeCell ref="AE289:AF289"/>
    <mergeCell ref="C290:X290"/>
    <mergeCell ref="AC290:AD290"/>
    <mergeCell ref="AE290:AF290"/>
    <mergeCell ref="C293:D293"/>
    <mergeCell ref="E293:Y293"/>
    <mergeCell ref="Z293:AA295"/>
    <mergeCell ref="AB293:AD295"/>
    <mergeCell ref="AE293:AF295"/>
    <mergeCell ref="C294:K294"/>
    <mergeCell ref="L294:Y294"/>
    <mergeCell ref="C295:E295"/>
    <mergeCell ref="F295:Y295"/>
    <mergeCell ref="C303:X303"/>
    <mergeCell ref="AC303:AD303"/>
    <mergeCell ref="AE303:AF303"/>
    <mergeCell ref="C304:X304"/>
    <mergeCell ref="AC304:AD304"/>
    <mergeCell ref="AE304:AF304"/>
    <mergeCell ref="C305:X305"/>
    <mergeCell ref="AC305:AD305"/>
    <mergeCell ref="AE305:AF305"/>
    <mergeCell ref="C300:X300"/>
    <mergeCell ref="AC300:AD300"/>
    <mergeCell ref="AE300:AF300"/>
    <mergeCell ref="C301:X301"/>
    <mergeCell ref="AC301:AD301"/>
    <mergeCell ref="AE301:AF301"/>
    <mergeCell ref="C302:X302"/>
    <mergeCell ref="AC302:AD302"/>
    <mergeCell ref="AE302:AF302"/>
    <mergeCell ref="C309:X309"/>
    <mergeCell ref="AC309:AD309"/>
    <mergeCell ref="AE309:AF309"/>
    <mergeCell ref="C310:X310"/>
    <mergeCell ref="AC310:AD310"/>
    <mergeCell ref="AE310:AF310"/>
    <mergeCell ref="C311:X311"/>
    <mergeCell ref="AC311:AD311"/>
    <mergeCell ref="AE311:AF311"/>
    <mergeCell ref="C306:X306"/>
    <mergeCell ref="AC306:AD306"/>
    <mergeCell ref="AE306:AF306"/>
    <mergeCell ref="C307:X307"/>
    <mergeCell ref="AC307:AD307"/>
    <mergeCell ref="AE307:AF307"/>
    <mergeCell ref="C308:X308"/>
    <mergeCell ref="AC308:AD308"/>
    <mergeCell ref="AE308:AF308"/>
    <mergeCell ref="C315:X315"/>
    <mergeCell ref="AC315:AD315"/>
    <mergeCell ref="AE315:AF315"/>
    <mergeCell ref="C316:X316"/>
    <mergeCell ref="AC316:AD316"/>
    <mergeCell ref="AE316:AF316"/>
    <mergeCell ref="C317:X317"/>
    <mergeCell ref="AC317:AD317"/>
    <mergeCell ref="AE317:AF317"/>
    <mergeCell ref="C312:X312"/>
    <mergeCell ref="AC312:AD312"/>
    <mergeCell ref="AE312:AF312"/>
    <mergeCell ref="C313:X313"/>
    <mergeCell ref="AC313:AD313"/>
    <mergeCell ref="AE313:AF313"/>
    <mergeCell ref="C314:X314"/>
    <mergeCell ref="AC314:AD314"/>
    <mergeCell ref="AE314:AF314"/>
    <mergeCell ref="C325:Y326"/>
    <mergeCell ref="Z325:Z328"/>
    <mergeCell ref="AA325:AA327"/>
    <mergeCell ref="AB325:AD327"/>
    <mergeCell ref="AE325:AF328"/>
    <mergeCell ref="C327:F327"/>
    <mergeCell ref="G327:K327"/>
    <mergeCell ref="C328:X328"/>
    <mergeCell ref="AC328:AD328"/>
    <mergeCell ref="C318:X318"/>
    <mergeCell ref="AC318:AD318"/>
    <mergeCell ref="AE318:AF318"/>
    <mergeCell ref="C319:X319"/>
    <mergeCell ref="AC319:AD319"/>
    <mergeCell ref="AE319:AF319"/>
    <mergeCell ref="C322:D322"/>
    <mergeCell ref="E322:Y322"/>
    <mergeCell ref="Z322:AA324"/>
    <mergeCell ref="AB322:AD324"/>
    <mergeCell ref="AE322:AF324"/>
    <mergeCell ref="C323:K323"/>
    <mergeCell ref="L323:Y323"/>
    <mergeCell ref="C324:E324"/>
    <mergeCell ref="F324:Y324"/>
    <mergeCell ref="C332:X332"/>
    <mergeCell ref="AC332:AD332"/>
    <mergeCell ref="AE332:AF332"/>
    <mergeCell ref="C333:X333"/>
    <mergeCell ref="AC333:AD333"/>
    <mergeCell ref="AE333:AF333"/>
    <mergeCell ref="C334:X334"/>
    <mergeCell ref="AC334:AD334"/>
    <mergeCell ref="AE334:AF334"/>
    <mergeCell ref="C329:X329"/>
    <mergeCell ref="AC329:AD329"/>
    <mergeCell ref="AE329:AF329"/>
    <mergeCell ref="C330:X330"/>
    <mergeCell ref="AC330:AD330"/>
    <mergeCell ref="AE330:AF330"/>
    <mergeCell ref="C331:X331"/>
    <mergeCell ref="AC331:AD331"/>
    <mergeCell ref="AE331:AF331"/>
    <mergeCell ref="C338:X338"/>
    <mergeCell ref="AC338:AD338"/>
    <mergeCell ref="AE338:AF338"/>
    <mergeCell ref="C339:X339"/>
    <mergeCell ref="AC339:AD339"/>
    <mergeCell ref="AE339:AF339"/>
    <mergeCell ref="C340:X340"/>
    <mergeCell ref="AC340:AD340"/>
    <mergeCell ref="AE340:AF340"/>
    <mergeCell ref="C335:X335"/>
    <mergeCell ref="AC335:AD335"/>
    <mergeCell ref="AE335:AF335"/>
    <mergeCell ref="C336:X336"/>
    <mergeCell ref="AC336:AD336"/>
    <mergeCell ref="AE336:AF336"/>
    <mergeCell ref="C337:X337"/>
    <mergeCell ref="AC337:AD337"/>
    <mergeCell ref="AE337:AF337"/>
    <mergeCell ref="C344:X344"/>
    <mergeCell ref="AC344:AD344"/>
    <mergeCell ref="AE344:AF344"/>
    <mergeCell ref="C345:X345"/>
    <mergeCell ref="AC345:AD345"/>
    <mergeCell ref="AE345:AF345"/>
    <mergeCell ref="C346:X346"/>
    <mergeCell ref="AC346:AD346"/>
    <mergeCell ref="AE346:AF346"/>
    <mergeCell ref="C341:X341"/>
    <mergeCell ref="AC341:AD341"/>
    <mergeCell ref="AE341:AF341"/>
    <mergeCell ref="C342:X342"/>
    <mergeCell ref="AC342:AD342"/>
    <mergeCell ref="AE342:AF342"/>
    <mergeCell ref="C343:X343"/>
    <mergeCell ref="AC343:AD343"/>
    <mergeCell ref="AE343:AF343"/>
    <mergeCell ref="C354:Y355"/>
    <mergeCell ref="Z354:Z357"/>
    <mergeCell ref="AA354:AA356"/>
    <mergeCell ref="AB354:AD356"/>
    <mergeCell ref="AE354:AF357"/>
    <mergeCell ref="C356:F356"/>
    <mergeCell ref="G356:K356"/>
    <mergeCell ref="C357:X357"/>
    <mergeCell ref="AC357:AD357"/>
    <mergeCell ref="C347:X347"/>
    <mergeCell ref="AC347:AD347"/>
    <mergeCell ref="AE347:AF347"/>
    <mergeCell ref="C348:X348"/>
    <mergeCell ref="AC348:AD348"/>
    <mergeCell ref="AE348:AF348"/>
    <mergeCell ref="C351:D351"/>
    <mergeCell ref="E351:Y351"/>
    <mergeCell ref="Z351:AA353"/>
    <mergeCell ref="AB351:AD353"/>
    <mergeCell ref="AE351:AF353"/>
    <mergeCell ref="C352:K352"/>
    <mergeCell ref="L352:Y352"/>
    <mergeCell ref="C353:E353"/>
    <mergeCell ref="F353:Y353"/>
    <mergeCell ref="C361:X361"/>
    <mergeCell ref="AC361:AD361"/>
    <mergeCell ref="AE361:AF361"/>
    <mergeCell ref="C362:X362"/>
    <mergeCell ref="AC362:AD362"/>
    <mergeCell ref="AE362:AF362"/>
    <mergeCell ref="C363:X363"/>
    <mergeCell ref="AC363:AD363"/>
    <mergeCell ref="AE363:AF363"/>
    <mergeCell ref="C358:X358"/>
    <mergeCell ref="AC358:AD358"/>
    <mergeCell ref="AE358:AF358"/>
    <mergeCell ref="C359:X359"/>
    <mergeCell ref="AC359:AD359"/>
    <mergeCell ref="AE359:AF359"/>
    <mergeCell ref="C360:X360"/>
    <mergeCell ref="AC360:AD360"/>
    <mergeCell ref="AE360:AF360"/>
    <mergeCell ref="C367:X367"/>
    <mergeCell ref="AC367:AD367"/>
    <mergeCell ref="AE367:AF367"/>
    <mergeCell ref="C368:X368"/>
    <mergeCell ref="AC368:AD368"/>
    <mergeCell ref="AE368:AF368"/>
    <mergeCell ref="C369:X369"/>
    <mergeCell ref="AC369:AD369"/>
    <mergeCell ref="AE369:AF369"/>
    <mergeCell ref="C364:X364"/>
    <mergeCell ref="AC364:AD364"/>
    <mergeCell ref="AE364:AF364"/>
    <mergeCell ref="C365:X365"/>
    <mergeCell ref="AC365:AD365"/>
    <mergeCell ref="AE365:AF365"/>
    <mergeCell ref="C366:X366"/>
    <mergeCell ref="AC366:AD366"/>
    <mergeCell ref="AE366:AF366"/>
    <mergeCell ref="C376:X376"/>
    <mergeCell ref="AC376:AD376"/>
    <mergeCell ref="AE376:AF376"/>
    <mergeCell ref="C377:X377"/>
    <mergeCell ref="AC377:AD377"/>
    <mergeCell ref="AE377:AF377"/>
    <mergeCell ref="C373:X373"/>
    <mergeCell ref="AC373:AD373"/>
    <mergeCell ref="AE373:AF373"/>
    <mergeCell ref="C374:X374"/>
    <mergeCell ref="AC374:AD374"/>
    <mergeCell ref="AE374:AF374"/>
    <mergeCell ref="C375:X375"/>
    <mergeCell ref="AC375:AD375"/>
    <mergeCell ref="AE375:AF375"/>
    <mergeCell ref="C370:X370"/>
    <mergeCell ref="AC370:AD370"/>
    <mergeCell ref="AE370:AF370"/>
    <mergeCell ref="C371:X371"/>
    <mergeCell ref="AC371:AD371"/>
    <mergeCell ref="AE371:AF371"/>
    <mergeCell ref="C372:X372"/>
    <mergeCell ref="AC372:AD372"/>
    <mergeCell ref="AE372:AF372"/>
  </mergeCells>
  <dataValidations disablePrompts="1" count="4">
    <dataValidation type="list" allowBlank="1" showInputMessage="1" showErrorMessage="1" sqref="E20:F21" xr:uid="{00000000-0002-0000-0200-000000000000}">
      <formula1>$Q$5</formula1>
    </dataValidation>
    <dataValidation type="list" allowBlank="1" showInputMessage="1" showErrorMessage="1" sqref="G20:G21" xr:uid="{00000000-0002-0000-0200-000001000000}">
      <formula1>$Q$8:$Q$10</formula1>
    </dataValidation>
    <dataValidation type="list" allowBlank="1" showInputMessage="1" showErrorMessage="1" sqref="Y88 Y175 Y262 Y349" xr:uid="{00000000-0002-0000-0200-000002000000}">
      <formula1>NormalPosition</formula1>
    </dataValidation>
    <dataValidation type="list" allowBlank="1" showInputMessage="1" showErrorMessage="1" sqref="Z88 Z175 Z262" xr:uid="{00000000-0002-0000-0200-000003000000}">
      <formula1>Locked</formula1>
    </dataValidation>
  </dataValidations>
  <pageMargins left="0.25" right="0.25" top="0.75" bottom="0.75" header="0.3" footer="0.3"/>
  <pageSetup orientation="landscape" r:id="rId1"/>
  <rowBreaks count="3" manualBreakCount="3">
    <brk id="29" min="1" max="31" man="1"/>
    <brk id="58" min="1" max="31" man="1"/>
    <brk id="87" min="1" max="31" man="1"/>
  </rowBreaks>
  <drawing r:id="rId2"/>
  <legacyDrawing r:id="rId3"/>
  <mc:AlternateContent xmlns:mc="http://schemas.openxmlformats.org/markup-compatibility/2006">
    <mc:Choice Requires="x14">
      <controls>
        <mc:AlternateContent xmlns:mc="http://schemas.openxmlformats.org/markup-compatibility/2006">
          <mc:Choice Requires="x14">
            <control shapeId="1179" r:id="rId4" name="Check Box 155">
              <controlPr defaultSize="0" autoFill="0" autoLine="0" autoPict="0">
                <anchor moveWithCells="1">
                  <from>
                    <xdr:col>15</xdr:col>
                    <xdr:colOff>0</xdr:colOff>
                    <xdr:row>4</xdr:row>
                    <xdr:rowOff>28575</xdr:rowOff>
                  </from>
                  <to>
                    <xdr:col>18</xdr:col>
                    <xdr:colOff>9525</xdr:colOff>
                    <xdr:row>4</xdr:row>
                    <xdr:rowOff>219075</xdr:rowOff>
                  </to>
                </anchor>
              </controlPr>
            </control>
          </mc:Choice>
        </mc:AlternateContent>
        <mc:AlternateContent xmlns:mc="http://schemas.openxmlformats.org/markup-compatibility/2006">
          <mc:Choice Requires="x14">
            <control shapeId="1181" r:id="rId5" name="Check Box 157">
              <controlPr defaultSize="0" autoFill="0" autoLine="0" autoPict="0">
                <anchor moveWithCells="1">
                  <from>
                    <xdr:col>18</xdr:col>
                    <xdr:colOff>9525</xdr:colOff>
                    <xdr:row>4</xdr:row>
                    <xdr:rowOff>47625</xdr:rowOff>
                  </from>
                  <to>
                    <xdr:col>21</xdr:col>
                    <xdr:colOff>19050</xdr:colOff>
                    <xdr:row>4</xdr:row>
                    <xdr:rowOff>219075</xdr:rowOff>
                  </to>
                </anchor>
              </controlPr>
            </control>
          </mc:Choice>
        </mc:AlternateContent>
        <mc:AlternateContent xmlns:mc="http://schemas.openxmlformats.org/markup-compatibility/2006">
          <mc:Choice Requires="x14">
            <control shapeId="1182" r:id="rId6" name="Check Box 158">
              <controlPr defaultSize="0" autoFill="0" autoLine="0" autoPict="0">
                <anchor moveWithCells="1">
                  <from>
                    <xdr:col>17</xdr:col>
                    <xdr:colOff>142875</xdr:colOff>
                    <xdr:row>5</xdr:row>
                    <xdr:rowOff>19050</xdr:rowOff>
                  </from>
                  <to>
                    <xdr:col>18</xdr:col>
                    <xdr:colOff>161925</xdr:colOff>
                    <xdr:row>5</xdr:row>
                    <xdr:rowOff>209550</xdr:rowOff>
                  </to>
                </anchor>
              </controlPr>
            </control>
          </mc:Choice>
        </mc:AlternateContent>
        <mc:AlternateContent xmlns:mc="http://schemas.openxmlformats.org/markup-compatibility/2006">
          <mc:Choice Requires="x14">
            <control shapeId="1185" r:id="rId7" name="Check Box 161">
              <controlPr defaultSize="0" autoFill="0" autoLine="0" autoPict="0">
                <anchor moveWithCells="1">
                  <from>
                    <xdr:col>12</xdr:col>
                    <xdr:colOff>0</xdr:colOff>
                    <xdr:row>5</xdr:row>
                    <xdr:rowOff>28575</xdr:rowOff>
                  </from>
                  <to>
                    <xdr:col>12</xdr:col>
                    <xdr:colOff>0</xdr:colOff>
                    <xdr:row>5</xdr:row>
                    <xdr:rowOff>28575</xdr:rowOff>
                  </to>
                </anchor>
              </controlPr>
            </control>
          </mc:Choice>
        </mc:AlternateContent>
        <mc:AlternateContent xmlns:mc="http://schemas.openxmlformats.org/markup-compatibility/2006">
          <mc:Choice Requires="x14">
            <control shapeId="1187" r:id="rId8" name="Check Box 163">
              <controlPr defaultSize="0" autoFill="0" autoLine="0" autoPict="0">
                <anchor moveWithCells="1">
                  <from>
                    <xdr:col>8</xdr:col>
                    <xdr:colOff>0</xdr:colOff>
                    <xdr:row>4</xdr:row>
                    <xdr:rowOff>38100</xdr:rowOff>
                  </from>
                  <to>
                    <xdr:col>9</xdr:col>
                    <xdr:colOff>19050</xdr:colOff>
                    <xdr:row>4</xdr:row>
                    <xdr:rowOff>228600</xdr:rowOff>
                  </to>
                </anchor>
              </controlPr>
            </control>
          </mc:Choice>
        </mc:AlternateContent>
        <mc:AlternateContent xmlns:mc="http://schemas.openxmlformats.org/markup-compatibility/2006">
          <mc:Choice Requires="x14">
            <control shapeId="1188" r:id="rId9" name="Check Box 164">
              <controlPr defaultSize="0" autoFill="0" autoLine="0" autoPict="0">
                <anchor moveWithCells="1">
                  <from>
                    <xdr:col>8</xdr:col>
                    <xdr:colOff>9525</xdr:colOff>
                    <xdr:row>4</xdr:row>
                    <xdr:rowOff>19050</xdr:rowOff>
                  </from>
                  <to>
                    <xdr:col>8</xdr:col>
                    <xdr:colOff>19050</xdr:colOff>
                    <xdr:row>4</xdr:row>
                    <xdr:rowOff>209550</xdr:rowOff>
                  </to>
                </anchor>
              </controlPr>
            </control>
          </mc:Choice>
        </mc:AlternateContent>
        <mc:AlternateContent xmlns:mc="http://schemas.openxmlformats.org/markup-compatibility/2006">
          <mc:Choice Requires="x14">
            <control shapeId="1189" r:id="rId10" name="Check Box 165">
              <controlPr defaultSize="0" autoFill="0" autoLine="0" autoPict="0">
                <anchor moveWithCells="1">
                  <from>
                    <xdr:col>30</xdr:col>
                    <xdr:colOff>495300</xdr:colOff>
                    <xdr:row>28</xdr:row>
                    <xdr:rowOff>0</xdr:rowOff>
                  </from>
                  <to>
                    <xdr:col>31</xdr:col>
                    <xdr:colOff>47625</xdr:colOff>
                    <xdr:row>30</xdr:row>
                    <xdr:rowOff>0</xdr:rowOff>
                  </to>
                </anchor>
              </controlPr>
            </control>
          </mc:Choice>
        </mc:AlternateContent>
        <mc:AlternateContent xmlns:mc="http://schemas.openxmlformats.org/markup-compatibility/2006">
          <mc:Choice Requires="x14">
            <control shapeId="1196" r:id="rId11" name="Check Box 172">
              <controlPr defaultSize="0" autoFill="0" autoLine="0" autoPict="0">
                <anchor moveWithCells="1">
                  <from>
                    <xdr:col>12</xdr:col>
                    <xdr:colOff>0</xdr:colOff>
                    <xdr:row>35</xdr:row>
                    <xdr:rowOff>28575</xdr:rowOff>
                  </from>
                  <to>
                    <xdr:col>12</xdr:col>
                    <xdr:colOff>0</xdr:colOff>
                    <xdr:row>35</xdr:row>
                    <xdr:rowOff>28575</xdr:rowOff>
                  </to>
                </anchor>
              </controlPr>
            </control>
          </mc:Choice>
        </mc:AlternateContent>
        <mc:AlternateContent xmlns:mc="http://schemas.openxmlformats.org/markup-compatibility/2006">
          <mc:Choice Requires="x14">
            <control shapeId="1199" r:id="rId12" name="Check Box 175">
              <controlPr defaultSize="0" autoFill="0" autoLine="0" autoPict="0">
                <anchor moveWithCells="1">
                  <from>
                    <xdr:col>8</xdr:col>
                    <xdr:colOff>9525</xdr:colOff>
                    <xdr:row>34</xdr:row>
                    <xdr:rowOff>19050</xdr:rowOff>
                  </from>
                  <to>
                    <xdr:col>8</xdr:col>
                    <xdr:colOff>19050</xdr:colOff>
                    <xdr:row>34</xdr:row>
                    <xdr:rowOff>209550</xdr:rowOff>
                  </to>
                </anchor>
              </controlPr>
            </control>
          </mc:Choice>
        </mc:AlternateContent>
        <mc:AlternateContent xmlns:mc="http://schemas.openxmlformats.org/markup-compatibility/2006">
          <mc:Choice Requires="x14">
            <control shapeId="1218" r:id="rId13" name="Check Box 194">
              <controlPr defaultSize="0" autoFill="0" autoLine="0" autoPict="0">
                <anchor moveWithCells="1">
                  <from>
                    <xdr:col>12</xdr:col>
                    <xdr:colOff>0</xdr:colOff>
                    <xdr:row>96</xdr:row>
                    <xdr:rowOff>28575</xdr:rowOff>
                  </from>
                  <to>
                    <xdr:col>12</xdr:col>
                    <xdr:colOff>0</xdr:colOff>
                    <xdr:row>96</xdr:row>
                    <xdr:rowOff>28575</xdr:rowOff>
                  </to>
                </anchor>
              </controlPr>
            </control>
          </mc:Choice>
        </mc:AlternateContent>
        <mc:AlternateContent xmlns:mc="http://schemas.openxmlformats.org/markup-compatibility/2006">
          <mc:Choice Requires="x14">
            <control shapeId="1221" r:id="rId14" name="Check Box 197">
              <controlPr defaultSize="0" autoFill="0" autoLine="0" autoPict="0">
                <anchor moveWithCells="1">
                  <from>
                    <xdr:col>8</xdr:col>
                    <xdr:colOff>9525</xdr:colOff>
                    <xdr:row>95</xdr:row>
                    <xdr:rowOff>19050</xdr:rowOff>
                  </from>
                  <to>
                    <xdr:col>8</xdr:col>
                    <xdr:colOff>19050</xdr:colOff>
                    <xdr:row>95</xdr:row>
                    <xdr:rowOff>209550</xdr:rowOff>
                  </to>
                </anchor>
              </controlPr>
            </control>
          </mc:Choice>
        </mc:AlternateContent>
        <mc:AlternateContent xmlns:mc="http://schemas.openxmlformats.org/markup-compatibility/2006">
          <mc:Choice Requires="x14">
            <control shapeId="1229" r:id="rId15" name="Check Box 205">
              <controlPr defaultSize="0" autoFill="0" autoLine="0" autoPict="0">
                <anchor moveWithCells="1">
                  <from>
                    <xdr:col>12</xdr:col>
                    <xdr:colOff>0</xdr:colOff>
                    <xdr:row>126</xdr:row>
                    <xdr:rowOff>28575</xdr:rowOff>
                  </from>
                  <to>
                    <xdr:col>12</xdr:col>
                    <xdr:colOff>0</xdr:colOff>
                    <xdr:row>126</xdr:row>
                    <xdr:rowOff>28575</xdr:rowOff>
                  </to>
                </anchor>
              </controlPr>
            </control>
          </mc:Choice>
        </mc:AlternateContent>
        <mc:AlternateContent xmlns:mc="http://schemas.openxmlformats.org/markup-compatibility/2006">
          <mc:Choice Requires="x14">
            <control shapeId="1232" r:id="rId16" name="Check Box 208">
              <controlPr defaultSize="0" autoFill="0" autoLine="0" autoPict="0">
                <anchor moveWithCells="1">
                  <from>
                    <xdr:col>8</xdr:col>
                    <xdr:colOff>9525</xdr:colOff>
                    <xdr:row>125</xdr:row>
                    <xdr:rowOff>19050</xdr:rowOff>
                  </from>
                  <to>
                    <xdr:col>8</xdr:col>
                    <xdr:colOff>19050</xdr:colOff>
                    <xdr:row>126</xdr:row>
                    <xdr:rowOff>19050</xdr:rowOff>
                  </to>
                </anchor>
              </controlPr>
            </control>
          </mc:Choice>
        </mc:AlternateContent>
        <mc:AlternateContent xmlns:mc="http://schemas.openxmlformats.org/markup-compatibility/2006">
          <mc:Choice Requires="x14">
            <control shapeId="1260" r:id="rId17" name="Check Box 236">
              <controlPr defaultSize="0" autoFill="0" autoLine="0" autoPict="0">
                <anchor moveWithCells="1">
                  <from>
                    <xdr:col>12</xdr:col>
                    <xdr:colOff>0</xdr:colOff>
                    <xdr:row>94</xdr:row>
                    <xdr:rowOff>28575</xdr:rowOff>
                  </from>
                  <to>
                    <xdr:col>12</xdr:col>
                    <xdr:colOff>0</xdr:colOff>
                    <xdr:row>94</xdr:row>
                    <xdr:rowOff>28575</xdr:rowOff>
                  </to>
                </anchor>
              </controlPr>
            </control>
          </mc:Choice>
        </mc:AlternateContent>
        <mc:AlternateContent xmlns:mc="http://schemas.openxmlformats.org/markup-compatibility/2006">
          <mc:Choice Requires="x14">
            <control shapeId="1261" r:id="rId18" name="Check Box 237">
              <controlPr defaultSize="0" autoFill="0" autoLine="0" autoPict="0">
                <anchor moveWithCells="1">
                  <from>
                    <xdr:col>8</xdr:col>
                    <xdr:colOff>9525</xdr:colOff>
                    <xdr:row>93</xdr:row>
                    <xdr:rowOff>19050</xdr:rowOff>
                  </from>
                  <to>
                    <xdr:col>8</xdr:col>
                    <xdr:colOff>19050</xdr:colOff>
                    <xdr:row>93</xdr:row>
                    <xdr:rowOff>209550</xdr:rowOff>
                  </to>
                </anchor>
              </controlPr>
            </control>
          </mc:Choice>
        </mc:AlternateContent>
        <mc:AlternateContent xmlns:mc="http://schemas.openxmlformats.org/markup-compatibility/2006">
          <mc:Choice Requires="x14">
            <control shapeId="1262" r:id="rId19" name="Check Box 238">
              <controlPr defaultSize="0" autoFill="0" autoLine="0" autoPict="0">
                <anchor moveWithCells="1">
                  <from>
                    <xdr:col>12</xdr:col>
                    <xdr:colOff>0</xdr:colOff>
                    <xdr:row>92</xdr:row>
                    <xdr:rowOff>28575</xdr:rowOff>
                  </from>
                  <to>
                    <xdr:col>12</xdr:col>
                    <xdr:colOff>0</xdr:colOff>
                    <xdr:row>92</xdr:row>
                    <xdr:rowOff>28575</xdr:rowOff>
                  </to>
                </anchor>
              </controlPr>
            </control>
          </mc:Choice>
        </mc:AlternateContent>
        <mc:AlternateContent xmlns:mc="http://schemas.openxmlformats.org/markup-compatibility/2006">
          <mc:Choice Requires="x14">
            <control shapeId="1263" r:id="rId20" name="Check Box 239">
              <controlPr defaultSize="0" autoFill="0" autoLine="0" autoPict="0">
                <anchor moveWithCells="1">
                  <from>
                    <xdr:col>8</xdr:col>
                    <xdr:colOff>9525</xdr:colOff>
                    <xdr:row>91</xdr:row>
                    <xdr:rowOff>19050</xdr:rowOff>
                  </from>
                  <to>
                    <xdr:col>8</xdr:col>
                    <xdr:colOff>19050</xdr:colOff>
                    <xdr:row>91</xdr:row>
                    <xdr:rowOff>209550</xdr:rowOff>
                  </to>
                </anchor>
              </controlPr>
            </control>
          </mc:Choice>
        </mc:AlternateContent>
        <mc:AlternateContent xmlns:mc="http://schemas.openxmlformats.org/markup-compatibility/2006">
          <mc:Choice Requires="x14">
            <control shapeId="1267" r:id="rId21" name="Check Box 243">
              <controlPr defaultSize="0" autoFill="0" autoLine="0" autoPict="0">
                <anchor moveWithCells="1">
                  <from>
                    <xdr:col>11</xdr:col>
                    <xdr:colOff>19050</xdr:colOff>
                    <xdr:row>4</xdr:row>
                    <xdr:rowOff>38100</xdr:rowOff>
                  </from>
                  <to>
                    <xdr:col>12</xdr:col>
                    <xdr:colOff>38100</xdr:colOff>
                    <xdr:row>4</xdr:row>
                    <xdr:rowOff>228600</xdr:rowOff>
                  </to>
                </anchor>
              </controlPr>
            </control>
          </mc:Choice>
        </mc:AlternateContent>
        <mc:AlternateContent xmlns:mc="http://schemas.openxmlformats.org/markup-compatibility/2006">
          <mc:Choice Requires="x14">
            <control shapeId="1268" r:id="rId22" name="Check Box 244">
              <controlPr defaultSize="0" autoFill="0" autoLine="0" autoPict="0">
                <anchor moveWithCells="1">
                  <from>
                    <xdr:col>2</xdr:col>
                    <xdr:colOff>28575</xdr:colOff>
                    <xdr:row>5</xdr:row>
                    <xdr:rowOff>28575</xdr:rowOff>
                  </from>
                  <to>
                    <xdr:col>3</xdr:col>
                    <xdr:colOff>47625</xdr:colOff>
                    <xdr:row>5</xdr:row>
                    <xdr:rowOff>219075</xdr:rowOff>
                  </to>
                </anchor>
              </controlPr>
            </control>
          </mc:Choice>
        </mc:AlternateContent>
        <mc:AlternateContent xmlns:mc="http://schemas.openxmlformats.org/markup-compatibility/2006">
          <mc:Choice Requires="x14">
            <control shapeId="1269" r:id="rId23" name="Check Box 245">
              <controlPr defaultSize="0" autoFill="0" autoLine="0" autoPict="0">
                <anchor moveWithCells="1">
                  <from>
                    <xdr:col>5</xdr:col>
                    <xdr:colOff>190500</xdr:colOff>
                    <xdr:row>5</xdr:row>
                    <xdr:rowOff>28575</xdr:rowOff>
                  </from>
                  <to>
                    <xdr:col>7</xdr:col>
                    <xdr:colOff>9525</xdr:colOff>
                    <xdr:row>5</xdr:row>
                    <xdr:rowOff>219075</xdr:rowOff>
                  </to>
                </anchor>
              </controlPr>
            </control>
          </mc:Choice>
        </mc:AlternateContent>
        <mc:AlternateContent xmlns:mc="http://schemas.openxmlformats.org/markup-compatibility/2006">
          <mc:Choice Requires="x14">
            <control shapeId="1270" r:id="rId24" name="Check Box 246">
              <controlPr defaultSize="0" autoFill="0" autoLine="0" autoPict="0">
                <anchor moveWithCells="1">
                  <from>
                    <xdr:col>9</xdr:col>
                    <xdr:colOff>19050</xdr:colOff>
                    <xdr:row>5</xdr:row>
                    <xdr:rowOff>38100</xdr:rowOff>
                  </from>
                  <to>
                    <xdr:col>10</xdr:col>
                    <xdr:colOff>38100</xdr:colOff>
                    <xdr:row>5</xdr:row>
                    <xdr:rowOff>228600</xdr:rowOff>
                  </to>
                </anchor>
              </controlPr>
            </control>
          </mc:Choice>
        </mc:AlternateContent>
        <mc:AlternateContent xmlns:mc="http://schemas.openxmlformats.org/markup-compatibility/2006">
          <mc:Choice Requires="x14">
            <control shapeId="1271" r:id="rId25" name="Check Box 247">
              <controlPr defaultSize="0" autoFill="0" autoLine="0" autoPict="0">
                <anchor moveWithCells="1">
                  <from>
                    <xdr:col>11</xdr:col>
                    <xdr:colOff>190500</xdr:colOff>
                    <xdr:row>5</xdr:row>
                    <xdr:rowOff>38100</xdr:rowOff>
                  </from>
                  <to>
                    <xdr:col>13</xdr:col>
                    <xdr:colOff>9525</xdr:colOff>
                    <xdr:row>5</xdr:row>
                    <xdr:rowOff>228600</xdr:rowOff>
                  </to>
                </anchor>
              </controlPr>
            </control>
          </mc:Choice>
        </mc:AlternateContent>
        <mc:AlternateContent xmlns:mc="http://schemas.openxmlformats.org/markup-compatibility/2006">
          <mc:Choice Requires="x14">
            <control shapeId="1273" r:id="rId26" name="Check Box 249">
              <controlPr defaultSize="0" autoFill="0" autoLine="0" autoPict="0">
                <anchor moveWithCells="1">
                  <from>
                    <xdr:col>21</xdr:col>
                    <xdr:colOff>66675</xdr:colOff>
                    <xdr:row>4</xdr:row>
                    <xdr:rowOff>38100</xdr:rowOff>
                  </from>
                  <to>
                    <xdr:col>22</xdr:col>
                    <xdr:colOff>85725</xdr:colOff>
                    <xdr:row>4</xdr:row>
                    <xdr:rowOff>228600</xdr:rowOff>
                  </to>
                </anchor>
              </controlPr>
            </control>
          </mc:Choice>
        </mc:AlternateContent>
        <mc:AlternateContent xmlns:mc="http://schemas.openxmlformats.org/markup-compatibility/2006">
          <mc:Choice Requires="x14">
            <control shapeId="1285" r:id="rId27" name="Check Box 261">
              <controlPr defaultSize="0" autoFill="0" autoLine="0" autoPict="0">
                <anchor moveWithCells="1">
                  <from>
                    <xdr:col>12</xdr:col>
                    <xdr:colOff>0</xdr:colOff>
                    <xdr:row>35</xdr:row>
                    <xdr:rowOff>28575</xdr:rowOff>
                  </from>
                  <to>
                    <xdr:col>12</xdr:col>
                    <xdr:colOff>0</xdr:colOff>
                    <xdr:row>35</xdr:row>
                    <xdr:rowOff>28575</xdr:rowOff>
                  </to>
                </anchor>
              </controlPr>
            </control>
          </mc:Choice>
        </mc:AlternateContent>
        <mc:AlternateContent xmlns:mc="http://schemas.openxmlformats.org/markup-compatibility/2006">
          <mc:Choice Requires="x14">
            <control shapeId="1287" r:id="rId28" name="Check Box 263">
              <controlPr defaultSize="0" autoFill="0" autoLine="0" autoPict="0">
                <anchor moveWithCells="1">
                  <from>
                    <xdr:col>8</xdr:col>
                    <xdr:colOff>9525</xdr:colOff>
                    <xdr:row>34</xdr:row>
                    <xdr:rowOff>19050</xdr:rowOff>
                  </from>
                  <to>
                    <xdr:col>8</xdr:col>
                    <xdr:colOff>19050</xdr:colOff>
                    <xdr:row>34</xdr:row>
                    <xdr:rowOff>209550</xdr:rowOff>
                  </to>
                </anchor>
              </controlPr>
            </control>
          </mc:Choice>
        </mc:AlternateContent>
        <mc:AlternateContent xmlns:mc="http://schemas.openxmlformats.org/markup-compatibility/2006">
          <mc:Choice Requires="x14">
            <control shapeId="1309" r:id="rId29" name="Check Box 285">
              <controlPr defaultSize="0" autoFill="0" autoLine="0" autoPict="0">
                <anchor moveWithCells="1">
                  <from>
                    <xdr:col>12</xdr:col>
                    <xdr:colOff>0</xdr:colOff>
                    <xdr:row>94</xdr:row>
                    <xdr:rowOff>28575</xdr:rowOff>
                  </from>
                  <to>
                    <xdr:col>12</xdr:col>
                    <xdr:colOff>0</xdr:colOff>
                    <xdr:row>94</xdr:row>
                    <xdr:rowOff>28575</xdr:rowOff>
                  </to>
                </anchor>
              </controlPr>
            </control>
          </mc:Choice>
        </mc:AlternateContent>
        <mc:AlternateContent xmlns:mc="http://schemas.openxmlformats.org/markup-compatibility/2006">
          <mc:Choice Requires="x14">
            <control shapeId="1310" r:id="rId30" name="Check Box 286">
              <controlPr defaultSize="0" autoFill="0" autoLine="0" autoPict="0">
                <anchor moveWithCells="1">
                  <from>
                    <xdr:col>8</xdr:col>
                    <xdr:colOff>9525</xdr:colOff>
                    <xdr:row>93</xdr:row>
                    <xdr:rowOff>19050</xdr:rowOff>
                  </from>
                  <to>
                    <xdr:col>8</xdr:col>
                    <xdr:colOff>19050</xdr:colOff>
                    <xdr:row>93</xdr:row>
                    <xdr:rowOff>209550</xdr:rowOff>
                  </to>
                </anchor>
              </controlPr>
            </control>
          </mc:Choice>
        </mc:AlternateContent>
        <mc:AlternateContent xmlns:mc="http://schemas.openxmlformats.org/markup-compatibility/2006">
          <mc:Choice Requires="x14">
            <control shapeId="1311" r:id="rId31" name="Check Box 287">
              <controlPr defaultSize="0" autoFill="0" autoLine="0" autoPict="0">
                <anchor moveWithCells="1">
                  <from>
                    <xdr:col>12</xdr:col>
                    <xdr:colOff>0</xdr:colOff>
                    <xdr:row>92</xdr:row>
                    <xdr:rowOff>28575</xdr:rowOff>
                  </from>
                  <to>
                    <xdr:col>12</xdr:col>
                    <xdr:colOff>0</xdr:colOff>
                    <xdr:row>92</xdr:row>
                    <xdr:rowOff>28575</xdr:rowOff>
                  </to>
                </anchor>
              </controlPr>
            </control>
          </mc:Choice>
        </mc:AlternateContent>
        <mc:AlternateContent xmlns:mc="http://schemas.openxmlformats.org/markup-compatibility/2006">
          <mc:Choice Requires="x14">
            <control shapeId="1312" r:id="rId32" name="Check Box 288">
              <controlPr defaultSize="0" autoFill="0" autoLine="0" autoPict="0">
                <anchor moveWithCells="1">
                  <from>
                    <xdr:col>8</xdr:col>
                    <xdr:colOff>9525</xdr:colOff>
                    <xdr:row>91</xdr:row>
                    <xdr:rowOff>19050</xdr:rowOff>
                  </from>
                  <to>
                    <xdr:col>8</xdr:col>
                    <xdr:colOff>19050</xdr:colOff>
                    <xdr:row>91</xdr:row>
                    <xdr:rowOff>209550</xdr:rowOff>
                  </to>
                </anchor>
              </controlPr>
            </control>
          </mc:Choice>
        </mc:AlternateContent>
        <mc:AlternateContent xmlns:mc="http://schemas.openxmlformats.org/markup-compatibility/2006">
          <mc:Choice Requires="x14">
            <control shapeId="1313" r:id="rId33" name="Check Box 289">
              <controlPr defaultSize="0" autoFill="0" autoLine="0" autoPict="0">
                <anchor moveWithCells="1">
                  <from>
                    <xdr:col>12</xdr:col>
                    <xdr:colOff>0</xdr:colOff>
                    <xdr:row>92</xdr:row>
                    <xdr:rowOff>28575</xdr:rowOff>
                  </from>
                  <to>
                    <xdr:col>12</xdr:col>
                    <xdr:colOff>0</xdr:colOff>
                    <xdr:row>92</xdr:row>
                    <xdr:rowOff>28575</xdr:rowOff>
                  </to>
                </anchor>
              </controlPr>
            </control>
          </mc:Choice>
        </mc:AlternateContent>
        <mc:AlternateContent xmlns:mc="http://schemas.openxmlformats.org/markup-compatibility/2006">
          <mc:Choice Requires="x14">
            <control shapeId="1314" r:id="rId34" name="Check Box 290">
              <controlPr defaultSize="0" autoFill="0" autoLine="0" autoPict="0">
                <anchor moveWithCells="1">
                  <from>
                    <xdr:col>8</xdr:col>
                    <xdr:colOff>9525</xdr:colOff>
                    <xdr:row>91</xdr:row>
                    <xdr:rowOff>19050</xdr:rowOff>
                  </from>
                  <to>
                    <xdr:col>8</xdr:col>
                    <xdr:colOff>19050</xdr:colOff>
                    <xdr:row>91</xdr:row>
                    <xdr:rowOff>209550</xdr:rowOff>
                  </to>
                </anchor>
              </controlPr>
            </control>
          </mc:Choice>
        </mc:AlternateContent>
        <mc:AlternateContent xmlns:mc="http://schemas.openxmlformats.org/markup-compatibility/2006">
          <mc:Choice Requires="x14">
            <control shapeId="1315" r:id="rId35" name="Check Box 291">
              <controlPr defaultSize="0" autoFill="0" autoLine="0" autoPict="0">
                <anchor moveWithCells="1">
                  <from>
                    <xdr:col>12</xdr:col>
                    <xdr:colOff>0</xdr:colOff>
                    <xdr:row>93</xdr:row>
                    <xdr:rowOff>28575</xdr:rowOff>
                  </from>
                  <to>
                    <xdr:col>12</xdr:col>
                    <xdr:colOff>0</xdr:colOff>
                    <xdr:row>93</xdr:row>
                    <xdr:rowOff>28575</xdr:rowOff>
                  </to>
                </anchor>
              </controlPr>
            </control>
          </mc:Choice>
        </mc:AlternateContent>
        <mc:AlternateContent xmlns:mc="http://schemas.openxmlformats.org/markup-compatibility/2006">
          <mc:Choice Requires="x14">
            <control shapeId="1316" r:id="rId36" name="Check Box 292">
              <controlPr defaultSize="0" autoFill="0" autoLine="0" autoPict="0">
                <anchor moveWithCells="1">
                  <from>
                    <xdr:col>8</xdr:col>
                    <xdr:colOff>9525</xdr:colOff>
                    <xdr:row>92</xdr:row>
                    <xdr:rowOff>19050</xdr:rowOff>
                  </from>
                  <to>
                    <xdr:col>8</xdr:col>
                    <xdr:colOff>19050</xdr:colOff>
                    <xdr:row>92</xdr:row>
                    <xdr:rowOff>209550</xdr:rowOff>
                  </to>
                </anchor>
              </controlPr>
            </control>
          </mc:Choice>
        </mc:AlternateContent>
        <mc:AlternateContent xmlns:mc="http://schemas.openxmlformats.org/markup-compatibility/2006">
          <mc:Choice Requires="x14">
            <control shapeId="1320" r:id="rId37" name="Check Box 296">
              <controlPr defaultSize="0" autoFill="0" autoLine="0" autoPict="0">
                <anchor moveWithCells="1">
                  <from>
                    <xdr:col>12</xdr:col>
                    <xdr:colOff>0</xdr:colOff>
                    <xdr:row>93</xdr:row>
                    <xdr:rowOff>28575</xdr:rowOff>
                  </from>
                  <to>
                    <xdr:col>12</xdr:col>
                    <xdr:colOff>0</xdr:colOff>
                    <xdr:row>93</xdr:row>
                    <xdr:rowOff>28575</xdr:rowOff>
                  </to>
                </anchor>
              </controlPr>
            </control>
          </mc:Choice>
        </mc:AlternateContent>
        <mc:AlternateContent xmlns:mc="http://schemas.openxmlformats.org/markup-compatibility/2006">
          <mc:Choice Requires="x14">
            <control shapeId="1322" r:id="rId38" name="Check Box 298">
              <controlPr defaultSize="0" autoFill="0" autoLine="0" autoPict="0">
                <anchor moveWithCells="1">
                  <from>
                    <xdr:col>8</xdr:col>
                    <xdr:colOff>9525</xdr:colOff>
                    <xdr:row>92</xdr:row>
                    <xdr:rowOff>19050</xdr:rowOff>
                  </from>
                  <to>
                    <xdr:col>8</xdr:col>
                    <xdr:colOff>19050</xdr:colOff>
                    <xdr:row>92</xdr:row>
                    <xdr:rowOff>209550</xdr:rowOff>
                  </to>
                </anchor>
              </controlPr>
            </control>
          </mc:Choice>
        </mc:AlternateContent>
        <mc:AlternateContent xmlns:mc="http://schemas.openxmlformats.org/markup-compatibility/2006">
          <mc:Choice Requires="x14">
            <control shapeId="1207" r:id="rId39" name="Check Box 183">
              <controlPr defaultSize="0" autoFill="0" autoLine="0" autoPict="0">
                <anchor moveWithCells="1">
                  <from>
                    <xdr:col>12</xdr:col>
                    <xdr:colOff>0</xdr:colOff>
                    <xdr:row>65</xdr:row>
                    <xdr:rowOff>28575</xdr:rowOff>
                  </from>
                  <to>
                    <xdr:col>12</xdr:col>
                    <xdr:colOff>0</xdr:colOff>
                    <xdr:row>65</xdr:row>
                    <xdr:rowOff>28575</xdr:rowOff>
                  </to>
                </anchor>
              </controlPr>
            </control>
          </mc:Choice>
        </mc:AlternateContent>
        <mc:AlternateContent xmlns:mc="http://schemas.openxmlformats.org/markup-compatibility/2006">
          <mc:Choice Requires="x14">
            <control shapeId="1210" r:id="rId40" name="Check Box 186">
              <controlPr defaultSize="0" autoFill="0" autoLine="0" autoPict="0">
                <anchor moveWithCells="1">
                  <from>
                    <xdr:col>8</xdr:col>
                    <xdr:colOff>9525</xdr:colOff>
                    <xdr:row>64</xdr:row>
                    <xdr:rowOff>19050</xdr:rowOff>
                  </from>
                  <to>
                    <xdr:col>8</xdr:col>
                    <xdr:colOff>19050</xdr:colOff>
                    <xdr:row>64</xdr:row>
                    <xdr:rowOff>209550</xdr:rowOff>
                  </to>
                </anchor>
              </controlPr>
            </control>
          </mc:Choice>
        </mc:AlternateContent>
        <mc:AlternateContent xmlns:mc="http://schemas.openxmlformats.org/markup-compatibility/2006">
          <mc:Choice Requires="x14">
            <control shapeId="1258" r:id="rId41" name="Check Box 234">
              <controlPr defaultSize="0" autoFill="0" autoLine="0" autoPict="0">
                <anchor moveWithCells="1">
                  <from>
                    <xdr:col>12</xdr:col>
                    <xdr:colOff>0</xdr:colOff>
                    <xdr:row>63</xdr:row>
                    <xdr:rowOff>28575</xdr:rowOff>
                  </from>
                  <to>
                    <xdr:col>12</xdr:col>
                    <xdr:colOff>0</xdr:colOff>
                    <xdr:row>63</xdr:row>
                    <xdr:rowOff>28575</xdr:rowOff>
                  </to>
                </anchor>
              </controlPr>
            </control>
          </mc:Choice>
        </mc:AlternateContent>
        <mc:AlternateContent xmlns:mc="http://schemas.openxmlformats.org/markup-compatibility/2006">
          <mc:Choice Requires="x14">
            <control shapeId="1259" r:id="rId42" name="Check Box 235">
              <controlPr defaultSize="0" autoFill="0" autoLine="0" autoPict="0">
                <anchor moveWithCells="1">
                  <from>
                    <xdr:col>8</xdr:col>
                    <xdr:colOff>9525</xdr:colOff>
                    <xdr:row>62</xdr:row>
                    <xdr:rowOff>19050</xdr:rowOff>
                  </from>
                  <to>
                    <xdr:col>8</xdr:col>
                    <xdr:colOff>19050</xdr:colOff>
                    <xdr:row>62</xdr:row>
                    <xdr:rowOff>209550</xdr:rowOff>
                  </to>
                </anchor>
              </controlPr>
            </control>
          </mc:Choice>
        </mc:AlternateContent>
        <mc:AlternateContent xmlns:mc="http://schemas.openxmlformats.org/markup-compatibility/2006">
          <mc:Choice Requires="x14">
            <control shapeId="1277" r:id="rId43" name="Check Box 253">
              <controlPr defaultSize="0" autoFill="0" autoLine="0" autoPict="0">
                <anchor moveWithCells="1">
                  <from>
                    <xdr:col>12</xdr:col>
                    <xdr:colOff>0</xdr:colOff>
                    <xdr:row>63</xdr:row>
                    <xdr:rowOff>28575</xdr:rowOff>
                  </from>
                  <to>
                    <xdr:col>12</xdr:col>
                    <xdr:colOff>0</xdr:colOff>
                    <xdr:row>63</xdr:row>
                    <xdr:rowOff>28575</xdr:rowOff>
                  </to>
                </anchor>
              </controlPr>
            </control>
          </mc:Choice>
        </mc:AlternateContent>
        <mc:AlternateContent xmlns:mc="http://schemas.openxmlformats.org/markup-compatibility/2006">
          <mc:Choice Requires="x14">
            <control shapeId="1278" r:id="rId44" name="Check Box 254">
              <controlPr defaultSize="0" autoFill="0" autoLine="0" autoPict="0">
                <anchor moveWithCells="1">
                  <from>
                    <xdr:col>8</xdr:col>
                    <xdr:colOff>9525</xdr:colOff>
                    <xdr:row>62</xdr:row>
                    <xdr:rowOff>19050</xdr:rowOff>
                  </from>
                  <to>
                    <xdr:col>8</xdr:col>
                    <xdr:colOff>19050</xdr:colOff>
                    <xdr:row>62</xdr:row>
                    <xdr:rowOff>209550</xdr:rowOff>
                  </to>
                </anchor>
              </controlPr>
            </control>
          </mc:Choice>
        </mc:AlternateContent>
        <mc:AlternateContent xmlns:mc="http://schemas.openxmlformats.org/markup-compatibility/2006">
          <mc:Choice Requires="x14">
            <control shapeId="1295" r:id="rId45" name="Check Box 271">
              <controlPr defaultSize="0" autoFill="0" autoLine="0" autoPict="0">
                <anchor moveWithCells="1">
                  <from>
                    <xdr:col>12</xdr:col>
                    <xdr:colOff>0</xdr:colOff>
                    <xdr:row>64</xdr:row>
                    <xdr:rowOff>28575</xdr:rowOff>
                  </from>
                  <to>
                    <xdr:col>12</xdr:col>
                    <xdr:colOff>0</xdr:colOff>
                    <xdr:row>64</xdr:row>
                    <xdr:rowOff>28575</xdr:rowOff>
                  </to>
                </anchor>
              </controlPr>
            </control>
          </mc:Choice>
        </mc:AlternateContent>
        <mc:AlternateContent xmlns:mc="http://schemas.openxmlformats.org/markup-compatibility/2006">
          <mc:Choice Requires="x14">
            <control shapeId="1296" r:id="rId46" name="Check Box 272">
              <controlPr defaultSize="0" autoFill="0" autoLine="0" autoPict="0">
                <anchor moveWithCells="1">
                  <from>
                    <xdr:col>8</xdr:col>
                    <xdr:colOff>9525</xdr:colOff>
                    <xdr:row>63</xdr:row>
                    <xdr:rowOff>19050</xdr:rowOff>
                  </from>
                  <to>
                    <xdr:col>8</xdr:col>
                    <xdr:colOff>19050</xdr:colOff>
                    <xdr:row>63</xdr:row>
                    <xdr:rowOff>209550</xdr:rowOff>
                  </to>
                </anchor>
              </controlPr>
            </control>
          </mc:Choice>
        </mc:AlternateContent>
        <mc:AlternateContent xmlns:mc="http://schemas.openxmlformats.org/markup-compatibility/2006">
          <mc:Choice Requires="x14">
            <control shapeId="1300" r:id="rId47" name="Check Box 276">
              <controlPr defaultSize="0" autoFill="0" autoLine="0" autoPict="0">
                <anchor moveWithCells="1">
                  <from>
                    <xdr:col>12</xdr:col>
                    <xdr:colOff>0</xdr:colOff>
                    <xdr:row>64</xdr:row>
                    <xdr:rowOff>28575</xdr:rowOff>
                  </from>
                  <to>
                    <xdr:col>12</xdr:col>
                    <xdr:colOff>0</xdr:colOff>
                    <xdr:row>64</xdr:row>
                    <xdr:rowOff>28575</xdr:rowOff>
                  </to>
                </anchor>
              </controlPr>
            </control>
          </mc:Choice>
        </mc:AlternateContent>
        <mc:AlternateContent xmlns:mc="http://schemas.openxmlformats.org/markup-compatibility/2006">
          <mc:Choice Requires="x14">
            <control shapeId="1302" r:id="rId48" name="Check Box 278">
              <controlPr defaultSize="0" autoFill="0" autoLine="0" autoPict="0">
                <anchor moveWithCells="1">
                  <from>
                    <xdr:col>8</xdr:col>
                    <xdr:colOff>9525</xdr:colOff>
                    <xdr:row>63</xdr:row>
                    <xdr:rowOff>19050</xdr:rowOff>
                  </from>
                  <to>
                    <xdr:col>8</xdr:col>
                    <xdr:colOff>19050</xdr:colOff>
                    <xdr:row>63</xdr:row>
                    <xdr:rowOff>209550</xdr:rowOff>
                  </to>
                </anchor>
              </controlPr>
            </control>
          </mc:Choice>
        </mc:AlternateContent>
        <mc:AlternateContent xmlns:mc="http://schemas.openxmlformats.org/markup-compatibility/2006">
          <mc:Choice Requires="x14">
            <control shapeId="1334" r:id="rId49" name="Check Box 310">
              <controlPr defaultSize="0" autoFill="0" autoLine="0" autoPict="0">
                <anchor moveWithCells="1">
                  <from>
                    <xdr:col>12</xdr:col>
                    <xdr:colOff>0</xdr:colOff>
                    <xdr:row>97</xdr:row>
                    <xdr:rowOff>28575</xdr:rowOff>
                  </from>
                  <to>
                    <xdr:col>12</xdr:col>
                    <xdr:colOff>0</xdr:colOff>
                    <xdr:row>97</xdr:row>
                    <xdr:rowOff>28575</xdr:rowOff>
                  </to>
                </anchor>
              </controlPr>
            </control>
          </mc:Choice>
        </mc:AlternateContent>
        <mc:AlternateContent xmlns:mc="http://schemas.openxmlformats.org/markup-compatibility/2006">
          <mc:Choice Requires="x14">
            <control shapeId="1335" r:id="rId50" name="Check Box 311">
              <controlPr defaultSize="0" autoFill="0" autoLine="0" autoPict="0">
                <anchor moveWithCells="1">
                  <from>
                    <xdr:col>12</xdr:col>
                    <xdr:colOff>0</xdr:colOff>
                    <xdr:row>98</xdr:row>
                    <xdr:rowOff>28575</xdr:rowOff>
                  </from>
                  <to>
                    <xdr:col>12</xdr:col>
                    <xdr:colOff>0</xdr:colOff>
                    <xdr:row>98</xdr:row>
                    <xdr:rowOff>28575</xdr:rowOff>
                  </to>
                </anchor>
              </controlPr>
            </control>
          </mc:Choice>
        </mc:AlternateContent>
        <mc:AlternateContent xmlns:mc="http://schemas.openxmlformats.org/markup-compatibility/2006">
          <mc:Choice Requires="x14">
            <control shapeId="1336" r:id="rId51" name="Check Box 312">
              <controlPr defaultSize="0" autoFill="0" autoLine="0" autoPict="0">
                <anchor moveWithCells="1">
                  <from>
                    <xdr:col>12</xdr:col>
                    <xdr:colOff>0</xdr:colOff>
                    <xdr:row>99</xdr:row>
                    <xdr:rowOff>28575</xdr:rowOff>
                  </from>
                  <to>
                    <xdr:col>12</xdr:col>
                    <xdr:colOff>0</xdr:colOff>
                    <xdr:row>99</xdr:row>
                    <xdr:rowOff>28575</xdr:rowOff>
                  </to>
                </anchor>
              </controlPr>
            </control>
          </mc:Choice>
        </mc:AlternateContent>
        <mc:AlternateContent xmlns:mc="http://schemas.openxmlformats.org/markup-compatibility/2006">
          <mc:Choice Requires="x14">
            <control shapeId="1337" r:id="rId52" name="Check Box 313">
              <controlPr defaultSize="0" autoFill="0" autoLine="0" autoPict="0">
                <anchor moveWithCells="1">
                  <from>
                    <xdr:col>12</xdr:col>
                    <xdr:colOff>0</xdr:colOff>
                    <xdr:row>100</xdr:row>
                    <xdr:rowOff>28575</xdr:rowOff>
                  </from>
                  <to>
                    <xdr:col>12</xdr:col>
                    <xdr:colOff>0</xdr:colOff>
                    <xdr:row>100</xdr:row>
                    <xdr:rowOff>28575</xdr:rowOff>
                  </to>
                </anchor>
              </controlPr>
            </control>
          </mc:Choice>
        </mc:AlternateContent>
        <mc:AlternateContent xmlns:mc="http://schemas.openxmlformats.org/markup-compatibility/2006">
          <mc:Choice Requires="x14">
            <control shapeId="1338" r:id="rId53" name="Check Box 314">
              <controlPr defaultSize="0" autoFill="0" autoLine="0" autoPict="0">
                <anchor moveWithCells="1">
                  <from>
                    <xdr:col>12</xdr:col>
                    <xdr:colOff>0</xdr:colOff>
                    <xdr:row>101</xdr:row>
                    <xdr:rowOff>28575</xdr:rowOff>
                  </from>
                  <to>
                    <xdr:col>12</xdr:col>
                    <xdr:colOff>0</xdr:colOff>
                    <xdr:row>101</xdr:row>
                    <xdr:rowOff>28575</xdr:rowOff>
                  </to>
                </anchor>
              </controlPr>
            </control>
          </mc:Choice>
        </mc:AlternateContent>
        <mc:AlternateContent xmlns:mc="http://schemas.openxmlformats.org/markup-compatibility/2006">
          <mc:Choice Requires="x14">
            <control shapeId="1339" r:id="rId54" name="Check Box 315">
              <controlPr defaultSize="0" autoFill="0" autoLine="0" autoPict="0">
                <anchor moveWithCells="1">
                  <from>
                    <xdr:col>12</xdr:col>
                    <xdr:colOff>0</xdr:colOff>
                    <xdr:row>102</xdr:row>
                    <xdr:rowOff>28575</xdr:rowOff>
                  </from>
                  <to>
                    <xdr:col>12</xdr:col>
                    <xdr:colOff>0</xdr:colOff>
                    <xdr:row>102</xdr:row>
                    <xdr:rowOff>28575</xdr:rowOff>
                  </to>
                </anchor>
              </controlPr>
            </control>
          </mc:Choice>
        </mc:AlternateContent>
        <mc:AlternateContent xmlns:mc="http://schemas.openxmlformats.org/markup-compatibility/2006">
          <mc:Choice Requires="x14">
            <control shapeId="1340" r:id="rId55" name="Check Box 316">
              <controlPr defaultSize="0" autoFill="0" autoLine="0" autoPict="0">
                <anchor moveWithCells="1">
                  <from>
                    <xdr:col>12</xdr:col>
                    <xdr:colOff>0</xdr:colOff>
                    <xdr:row>103</xdr:row>
                    <xdr:rowOff>28575</xdr:rowOff>
                  </from>
                  <to>
                    <xdr:col>12</xdr:col>
                    <xdr:colOff>0</xdr:colOff>
                    <xdr:row>103</xdr:row>
                    <xdr:rowOff>28575</xdr:rowOff>
                  </to>
                </anchor>
              </controlPr>
            </control>
          </mc:Choice>
        </mc:AlternateContent>
        <mc:AlternateContent xmlns:mc="http://schemas.openxmlformats.org/markup-compatibility/2006">
          <mc:Choice Requires="x14">
            <control shapeId="1341" r:id="rId56" name="Check Box 317">
              <controlPr defaultSize="0" autoFill="0" autoLine="0" autoPict="0">
                <anchor moveWithCells="1">
                  <from>
                    <xdr:col>12</xdr:col>
                    <xdr:colOff>0</xdr:colOff>
                    <xdr:row>104</xdr:row>
                    <xdr:rowOff>28575</xdr:rowOff>
                  </from>
                  <to>
                    <xdr:col>12</xdr:col>
                    <xdr:colOff>0</xdr:colOff>
                    <xdr:row>104</xdr:row>
                    <xdr:rowOff>28575</xdr:rowOff>
                  </to>
                </anchor>
              </controlPr>
            </control>
          </mc:Choice>
        </mc:AlternateContent>
        <mc:AlternateContent xmlns:mc="http://schemas.openxmlformats.org/markup-compatibility/2006">
          <mc:Choice Requires="x14">
            <control shapeId="1342" r:id="rId57" name="Check Box 318">
              <controlPr defaultSize="0" autoFill="0" autoLine="0" autoPict="0">
                <anchor moveWithCells="1">
                  <from>
                    <xdr:col>12</xdr:col>
                    <xdr:colOff>0</xdr:colOff>
                    <xdr:row>105</xdr:row>
                    <xdr:rowOff>28575</xdr:rowOff>
                  </from>
                  <to>
                    <xdr:col>12</xdr:col>
                    <xdr:colOff>0</xdr:colOff>
                    <xdr:row>105</xdr:row>
                    <xdr:rowOff>28575</xdr:rowOff>
                  </to>
                </anchor>
              </controlPr>
            </control>
          </mc:Choice>
        </mc:AlternateContent>
        <mc:AlternateContent xmlns:mc="http://schemas.openxmlformats.org/markup-compatibility/2006">
          <mc:Choice Requires="x14">
            <control shapeId="1343" r:id="rId58" name="Check Box 319">
              <controlPr defaultSize="0" autoFill="0" autoLine="0" autoPict="0">
                <anchor moveWithCells="1">
                  <from>
                    <xdr:col>12</xdr:col>
                    <xdr:colOff>0</xdr:colOff>
                    <xdr:row>106</xdr:row>
                    <xdr:rowOff>28575</xdr:rowOff>
                  </from>
                  <to>
                    <xdr:col>12</xdr:col>
                    <xdr:colOff>0</xdr:colOff>
                    <xdr:row>106</xdr:row>
                    <xdr:rowOff>28575</xdr:rowOff>
                  </to>
                </anchor>
              </controlPr>
            </control>
          </mc:Choice>
        </mc:AlternateContent>
        <mc:AlternateContent xmlns:mc="http://schemas.openxmlformats.org/markup-compatibility/2006">
          <mc:Choice Requires="x14">
            <control shapeId="1344" r:id="rId59" name="Check Box 320">
              <controlPr defaultSize="0" autoFill="0" autoLine="0" autoPict="0">
                <anchor moveWithCells="1">
                  <from>
                    <xdr:col>12</xdr:col>
                    <xdr:colOff>0</xdr:colOff>
                    <xdr:row>107</xdr:row>
                    <xdr:rowOff>28575</xdr:rowOff>
                  </from>
                  <to>
                    <xdr:col>12</xdr:col>
                    <xdr:colOff>0</xdr:colOff>
                    <xdr:row>107</xdr:row>
                    <xdr:rowOff>28575</xdr:rowOff>
                  </to>
                </anchor>
              </controlPr>
            </control>
          </mc:Choice>
        </mc:AlternateContent>
        <mc:AlternateContent xmlns:mc="http://schemas.openxmlformats.org/markup-compatibility/2006">
          <mc:Choice Requires="x14">
            <control shapeId="1345" r:id="rId60" name="Check Box 321">
              <controlPr defaultSize="0" autoFill="0" autoLine="0" autoPict="0">
                <anchor moveWithCells="1">
                  <from>
                    <xdr:col>12</xdr:col>
                    <xdr:colOff>0</xdr:colOff>
                    <xdr:row>108</xdr:row>
                    <xdr:rowOff>28575</xdr:rowOff>
                  </from>
                  <to>
                    <xdr:col>12</xdr:col>
                    <xdr:colOff>0</xdr:colOff>
                    <xdr:row>108</xdr:row>
                    <xdr:rowOff>28575</xdr:rowOff>
                  </to>
                </anchor>
              </controlPr>
            </control>
          </mc:Choice>
        </mc:AlternateContent>
        <mc:AlternateContent xmlns:mc="http://schemas.openxmlformats.org/markup-compatibility/2006">
          <mc:Choice Requires="x14">
            <control shapeId="1346" r:id="rId61" name="Check Box 322">
              <controlPr defaultSize="0" autoFill="0" autoLine="0" autoPict="0">
                <anchor moveWithCells="1">
                  <from>
                    <xdr:col>12</xdr:col>
                    <xdr:colOff>0</xdr:colOff>
                    <xdr:row>109</xdr:row>
                    <xdr:rowOff>28575</xdr:rowOff>
                  </from>
                  <to>
                    <xdr:col>12</xdr:col>
                    <xdr:colOff>0</xdr:colOff>
                    <xdr:row>109</xdr:row>
                    <xdr:rowOff>28575</xdr:rowOff>
                  </to>
                </anchor>
              </controlPr>
            </control>
          </mc:Choice>
        </mc:AlternateContent>
        <mc:AlternateContent xmlns:mc="http://schemas.openxmlformats.org/markup-compatibility/2006">
          <mc:Choice Requires="x14">
            <control shapeId="1347" r:id="rId62" name="Check Box 323">
              <controlPr defaultSize="0" autoFill="0" autoLine="0" autoPict="0">
                <anchor moveWithCells="1">
                  <from>
                    <xdr:col>12</xdr:col>
                    <xdr:colOff>0</xdr:colOff>
                    <xdr:row>110</xdr:row>
                    <xdr:rowOff>28575</xdr:rowOff>
                  </from>
                  <to>
                    <xdr:col>12</xdr:col>
                    <xdr:colOff>0</xdr:colOff>
                    <xdr:row>110</xdr:row>
                    <xdr:rowOff>28575</xdr:rowOff>
                  </to>
                </anchor>
              </controlPr>
            </control>
          </mc:Choice>
        </mc:AlternateContent>
        <mc:AlternateContent xmlns:mc="http://schemas.openxmlformats.org/markup-compatibility/2006">
          <mc:Choice Requires="x14">
            <control shapeId="1348" r:id="rId63" name="Check Box 324">
              <controlPr defaultSize="0" autoFill="0" autoLine="0" autoPict="0">
                <anchor moveWithCells="1">
                  <from>
                    <xdr:col>12</xdr:col>
                    <xdr:colOff>0</xdr:colOff>
                    <xdr:row>111</xdr:row>
                    <xdr:rowOff>28575</xdr:rowOff>
                  </from>
                  <to>
                    <xdr:col>12</xdr:col>
                    <xdr:colOff>0</xdr:colOff>
                    <xdr:row>111</xdr:row>
                    <xdr:rowOff>28575</xdr:rowOff>
                  </to>
                </anchor>
              </controlPr>
            </control>
          </mc:Choice>
        </mc:AlternateContent>
        <mc:AlternateContent xmlns:mc="http://schemas.openxmlformats.org/markup-compatibility/2006">
          <mc:Choice Requires="x14">
            <control shapeId="1349" r:id="rId64" name="Check Box 325">
              <controlPr defaultSize="0" autoFill="0" autoLine="0" autoPict="0">
                <anchor moveWithCells="1">
                  <from>
                    <xdr:col>12</xdr:col>
                    <xdr:colOff>0</xdr:colOff>
                    <xdr:row>112</xdr:row>
                    <xdr:rowOff>28575</xdr:rowOff>
                  </from>
                  <to>
                    <xdr:col>12</xdr:col>
                    <xdr:colOff>0</xdr:colOff>
                    <xdr:row>112</xdr:row>
                    <xdr:rowOff>28575</xdr:rowOff>
                  </to>
                </anchor>
              </controlPr>
            </control>
          </mc:Choice>
        </mc:AlternateContent>
        <mc:AlternateContent xmlns:mc="http://schemas.openxmlformats.org/markup-compatibility/2006">
          <mc:Choice Requires="x14">
            <control shapeId="1350" r:id="rId65" name="Check Box 326">
              <controlPr defaultSize="0" autoFill="0" autoLine="0" autoPict="0">
                <anchor moveWithCells="1">
                  <from>
                    <xdr:col>12</xdr:col>
                    <xdr:colOff>0</xdr:colOff>
                    <xdr:row>113</xdr:row>
                    <xdr:rowOff>28575</xdr:rowOff>
                  </from>
                  <to>
                    <xdr:col>12</xdr:col>
                    <xdr:colOff>0</xdr:colOff>
                    <xdr:row>113</xdr:row>
                    <xdr:rowOff>28575</xdr:rowOff>
                  </to>
                </anchor>
              </controlPr>
            </control>
          </mc:Choice>
        </mc:AlternateContent>
        <mc:AlternateContent xmlns:mc="http://schemas.openxmlformats.org/markup-compatibility/2006">
          <mc:Choice Requires="x14">
            <control shapeId="1351" r:id="rId66" name="Check Box 327">
              <controlPr defaultSize="0" autoFill="0" autoLine="0" autoPict="0">
                <anchor moveWithCells="1">
                  <from>
                    <xdr:col>12</xdr:col>
                    <xdr:colOff>0</xdr:colOff>
                    <xdr:row>114</xdr:row>
                    <xdr:rowOff>28575</xdr:rowOff>
                  </from>
                  <to>
                    <xdr:col>12</xdr:col>
                    <xdr:colOff>0</xdr:colOff>
                    <xdr:row>114</xdr:row>
                    <xdr:rowOff>28575</xdr:rowOff>
                  </to>
                </anchor>
              </controlPr>
            </control>
          </mc:Choice>
        </mc:AlternateContent>
        <mc:AlternateContent xmlns:mc="http://schemas.openxmlformats.org/markup-compatibility/2006">
          <mc:Choice Requires="x14">
            <control shapeId="1352" r:id="rId67" name="Check Box 328">
              <controlPr defaultSize="0" autoFill="0" autoLine="0" autoPict="0">
                <anchor moveWithCells="1">
                  <from>
                    <xdr:col>12</xdr:col>
                    <xdr:colOff>0</xdr:colOff>
                    <xdr:row>115</xdr:row>
                    <xdr:rowOff>28575</xdr:rowOff>
                  </from>
                  <to>
                    <xdr:col>12</xdr:col>
                    <xdr:colOff>0</xdr:colOff>
                    <xdr:row>115</xdr:row>
                    <xdr:rowOff>28575</xdr:rowOff>
                  </to>
                </anchor>
              </controlPr>
            </control>
          </mc:Choice>
        </mc:AlternateContent>
        <mc:AlternateContent xmlns:mc="http://schemas.openxmlformats.org/markup-compatibility/2006">
          <mc:Choice Requires="x14">
            <control shapeId="1454" r:id="rId68" name="Check Box 430">
              <controlPr defaultSize="0" autoFill="0" autoLine="0" autoPict="0">
                <anchor moveWithCells="1">
                  <from>
                    <xdr:col>12</xdr:col>
                    <xdr:colOff>0</xdr:colOff>
                    <xdr:row>122</xdr:row>
                    <xdr:rowOff>28575</xdr:rowOff>
                  </from>
                  <to>
                    <xdr:col>12</xdr:col>
                    <xdr:colOff>0</xdr:colOff>
                    <xdr:row>122</xdr:row>
                    <xdr:rowOff>28575</xdr:rowOff>
                  </to>
                </anchor>
              </controlPr>
            </control>
          </mc:Choice>
        </mc:AlternateContent>
        <mc:AlternateContent xmlns:mc="http://schemas.openxmlformats.org/markup-compatibility/2006">
          <mc:Choice Requires="x14">
            <control shapeId="1455" r:id="rId69" name="Check Box 431">
              <controlPr defaultSize="0" autoFill="0" autoLine="0" autoPict="0">
                <anchor moveWithCells="1">
                  <from>
                    <xdr:col>8</xdr:col>
                    <xdr:colOff>9525</xdr:colOff>
                    <xdr:row>121</xdr:row>
                    <xdr:rowOff>19050</xdr:rowOff>
                  </from>
                  <to>
                    <xdr:col>8</xdr:col>
                    <xdr:colOff>19050</xdr:colOff>
                    <xdr:row>121</xdr:row>
                    <xdr:rowOff>209550</xdr:rowOff>
                  </to>
                </anchor>
              </controlPr>
            </control>
          </mc:Choice>
        </mc:AlternateContent>
        <mc:AlternateContent xmlns:mc="http://schemas.openxmlformats.org/markup-compatibility/2006">
          <mc:Choice Requires="x14">
            <control shapeId="1456" r:id="rId70" name="Check Box 432">
              <controlPr defaultSize="0" autoFill="0" autoLine="0" autoPict="0">
                <anchor moveWithCells="1">
                  <from>
                    <xdr:col>12</xdr:col>
                    <xdr:colOff>0</xdr:colOff>
                    <xdr:row>152</xdr:row>
                    <xdr:rowOff>28575</xdr:rowOff>
                  </from>
                  <to>
                    <xdr:col>12</xdr:col>
                    <xdr:colOff>0</xdr:colOff>
                    <xdr:row>152</xdr:row>
                    <xdr:rowOff>28575</xdr:rowOff>
                  </to>
                </anchor>
              </controlPr>
            </control>
          </mc:Choice>
        </mc:AlternateContent>
        <mc:AlternateContent xmlns:mc="http://schemas.openxmlformats.org/markup-compatibility/2006">
          <mc:Choice Requires="x14">
            <control shapeId="1457" r:id="rId71" name="Check Box 433">
              <controlPr defaultSize="0" autoFill="0" autoLine="0" autoPict="0">
                <anchor moveWithCells="1">
                  <from>
                    <xdr:col>8</xdr:col>
                    <xdr:colOff>9525</xdr:colOff>
                    <xdr:row>151</xdr:row>
                    <xdr:rowOff>19050</xdr:rowOff>
                  </from>
                  <to>
                    <xdr:col>8</xdr:col>
                    <xdr:colOff>19050</xdr:colOff>
                    <xdr:row>151</xdr:row>
                    <xdr:rowOff>209550</xdr:rowOff>
                  </to>
                </anchor>
              </controlPr>
            </control>
          </mc:Choice>
        </mc:AlternateContent>
        <mc:AlternateContent xmlns:mc="http://schemas.openxmlformats.org/markup-compatibility/2006">
          <mc:Choice Requires="x14">
            <control shapeId="1458" r:id="rId72" name="Check Box 434">
              <controlPr defaultSize="0" autoFill="0" autoLine="0" autoPict="0">
                <anchor moveWithCells="1">
                  <from>
                    <xdr:col>12</xdr:col>
                    <xdr:colOff>0</xdr:colOff>
                    <xdr:row>183</xdr:row>
                    <xdr:rowOff>28575</xdr:rowOff>
                  </from>
                  <to>
                    <xdr:col>12</xdr:col>
                    <xdr:colOff>0</xdr:colOff>
                    <xdr:row>183</xdr:row>
                    <xdr:rowOff>28575</xdr:rowOff>
                  </to>
                </anchor>
              </controlPr>
            </control>
          </mc:Choice>
        </mc:AlternateContent>
        <mc:AlternateContent xmlns:mc="http://schemas.openxmlformats.org/markup-compatibility/2006">
          <mc:Choice Requires="x14">
            <control shapeId="1459" r:id="rId73" name="Check Box 435">
              <controlPr defaultSize="0" autoFill="0" autoLine="0" autoPict="0">
                <anchor moveWithCells="1">
                  <from>
                    <xdr:col>8</xdr:col>
                    <xdr:colOff>9525</xdr:colOff>
                    <xdr:row>182</xdr:row>
                    <xdr:rowOff>19050</xdr:rowOff>
                  </from>
                  <to>
                    <xdr:col>8</xdr:col>
                    <xdr:colOff>19050</xdr:colOff>
                    <xdr:row>182</xdr:row>
                    <xdr:rowOff>209550</xdr:rowOff>
                  </to>
                </anchor>
              </controlPr>
            </control>
          </mc:Choice>
        </mc:AlternateContent>
        <mc:AlternateContent xmlns:mc="http://schemas.openxmlformats.org/markup-compatibility/2006">
          <mc:Choice Requires="x14">
            <control shapeId="1460" r:id="rId74" name="Check Box 436">
              <controlPr defaultSize="0" autoFill="0" autoLine="0" autoPict="0">
                <anchor moveWithCells="1">
                  <from>
                    <xdr:col>12</xdr:col>
                    <xdr:colOff>0</xdr:colOff>
                    <xdr:row>150</xdr:row>
                    <xdr:rowOff>28575</xdr:rowOff>
                  </from>
                  <to>
                    <xdr:col>12</xdr:col>
                    <xdr:colOff>0</xdr:colOff>
                    <xdr:row>150</xdr:row>
                    <xdr:rowOff>28575</xdr:rowOff>
                  </to>
                </anchor>
              </controlPr>
            </control>
          </mc:Choice>
        </mc:AlternateContent>
        <mc:AlternateContent xmlns:mc="http://schemas.openxmlformats.org/markup-compatibility/2006">
          <mc:Choice Requires="x14">
            <control shapeId="1461" r:id="rId75" name="Check Box 437">
              <controlPr defaultSize="0" autoFill="0" autoLine="0" autoPict="0">
                <anchor moveWithCells="1">
                  <from>
                    <xdr:col>8</xdr:col>
                    <xdr:colOff>9525</xdr:colOff>
                    <xdr:row>149</xdr:row>
                    <xdr:rowOff>19050</xdr:rowOff>
                  </from>
                  <to>
                    <xdr:col>8</xdr:col>
                    <xdr:colOff>19050</xdr:colOff>
                    <xdr:row>149</xdr:row>
                    <xdr:rowOff>209550</xdr:rowOff>
                  </to>
                </anchor>
              </controlPr>
            </control>
          </mc:Choice>
        </mc:AlternateContent>
        <mc:AlternateContent xmlns:mc="http://schemas.openxmlformats.org/markup-compatibility/2006">
          <mc:Choice Requires="x14">
            <control shapeId="1462" r:id="rId76" name="Check Box 438">
              <controlPr defaultSize="0" autoFill="0" autoLine="0" autoPict="0">
                <anchor moveWithCells="1">
                  <from>
                    <xdr:col>12</xdr:col>
                    <xdr:colOff>0</xdr:colOff>
                    <xdr:row>181</xdr:row>
                    <xdr:rowOff>28575</xdr:rowOff>
                  </from>
                  <to>
                    <xdr:col>12</xdr:col>
                    <xdr:colOff>0</xdr:colOff>
                    <xdr:row>181</xdr:row>
                    <xdr:rowOff>28575</xdr:rowOff>
                  </to>
                </anchor>
              </controlPr>
            </control>
          </mc:Choice>
        </mc:AlternateContent>
        <mc:AlternateContent xmlns:mc="http://schemas.openxmlformats.org/markup-compatibility/2006">
          <mc:Choice Requires="x14">
            <control shapeId="1463" r:id="rId77" name="Check Box 439">
              <controlPr defaultSize="0" autoFill="0" autoLine="0" autoPict="0">
                <anchor moveWithCells="1">
                  <from>
                    <xdr:col>8</xdr:col>
                    <xdr:colOff>9525</xdr:colOff>
                    <xdr:row>180</xdr:row>
                    <xdr:rowOff>19050</xdr:rowOff>
                  </from>
                  <to>
                    <xdr:col>8</xdr:col>
                    <xdr:colOff>19050</xdr:colOff>
                    <xdr:row>180</xdr:row>
                    <xdr:rowOff>209550</xdr:rowOff>
                  </to>
                </anchor>
              </controlPr>
            </control>
          </mc:Choice>
        </mc:AlternateContent>
        <mc:AlternateContent xmlns:mc="http://schemas.openxmlformats.org/markup-compatibility/2006">
          <mc:Choice Requires="x14">
            <control shapeId="1464" r:id="rId78" name="Check Box 440">
              <controlPr defaultSize="0" autoFill="0" autoLine="0" autoPict="0">
                <anchor moveWithCells="1">
                  <from>
                    <xdr:col>12</xdr:col>
                    <xdr:colOff>0</xdr:colOff>
                    <xdr:row>179</xdr:row>
                    <xdr:rowOff>28575</xdr:rowOff>
                  </from>
                  <to>
                    <xdr:col>12</xdr:col>
                    <xdr:colOff>0</xdr:colOff>
                    <xdr:row>179</xdr:row>
                    <xdr:rowOff>28575</xdr:rowOff>
                  </to>
                </anchor>
              </controlPr>
            </control>
          </mc:Choice>
        </mc:AlternateContent>
        <mc:AlternateContent xmlns:mc="http://schemas.openxmlformats.org/markup-compatibility/2006">
          <mc:Choice Requires="x14">
            <control shapeId="1465" r:id="rId79" name="Check Box 441">
              <controlPr defaultSize="0" autoFill="0" autoLine="0" autoPict="0">
                <anchor moveWithCells="1">
                  <from>
                    <xdr:col>8</xdr:col>
                    <xdr:colOff>9525</xdr:colOff>
                    <xdr:row>178</xdr:row>
                    <xdr:rowOff>19050</xdr:rowOff>
                  </from>
                  <to>
                    <xdr:col>8</xdr:col>
                    <xdr:colOff>19050</xdr:colOff>
                    <xdr:row>178</xdr:row>
                    <xdr:rowOff>209550</xdr:rowOff>
                  </to>
                </anchor>
              </controlPr>
            </control>
          </mc:Choice>
        </mc:AlternateContent>
        <mc:AlternateContent xmlns:mc="http://schemas.openxmlformats.org/markup-compatibility/2006">
          <mc:Choice Requires="x14">
            <control shapeId="1466" r:id="rId80" name="Check Box 442">
              <controlPr defaultSize="0" autoFill="0" autoLine="0" autoPict="0">
                <anchor moveWithCells="1">
                  <from>
                    <xdr:col>12</xdr:col>
                    <xdr:colOff>0</xdr:colOff>
                    <xdr:row>150</xdr:row>
                    <xdr:rowOff>28575</xdr:rowOff>
                  </from>
                  <to>
                    <xdr:col>12</xdr:col>
                    <xdr:colOff>0</xdr:colOff>
                    <xdr:row>150</xdr:row>
                    <xdr:rowOff>28575</xdr:rowOff>
                  </to>
                </anchor>
              </controlPr>
            </control>
          </mc:Choice>
        </mc:AlternateContent>
        <mc:AlternateContent xmlns:mc="http://schemas.openxmlformats.org/markup-compatibility/2006">
          <mc:Choice Requires="x14">
            <control shapeId="1467" r:id="rId81" name="Check Box 443">
              <controlPr defaultSize="0" autoFill="0" autoLine="0" autoPict="0">
                <anchor moveWithCells="1">
                  <from>
                    <xdr:col>8</xdr:col>
                    <xdr:colOff>9525</xdr:colOff>
                    <xdr:row>149</xdr:row>
                    <xdr:rowOff>19050</xdr:rowOff>
                  </from>
                  <to>
                    <xdr:col>8</xdr:col>
                    <xdr:colOff>19050</xdr:colOff>
                    <xdr:row>149</xdr:row>
                    <xdr:rowOff>209550</xdr:rowOff>
                  </to>
                </anchor>
              </controlPr>
            </control>
          </mc:Choice>
        </mc:AlternateContent>
        <mc:AlternateContent xmlns:mc="http://schemas.openxmlformats.org/markup-compatibility/2006">
          <mc:Choice Requires="x14">
            <control shapeId="1468" r:id="rId82" name="Check Box 444">
              <controlPr defaultSize="0" autoFill="0" autoLine="0" autoPict="0">
                <anchor moveWithCells="1">
                  <from>
                    <xdr:col>12</xdr:col>
                    <xdr:colOff>0</xdr:colOff>
                    <xdr:row>122</xdr:row>
                    <xdr:rowOff>28575</xdr:rowOff>
                  </from>
                  <to>
                    <xdr:col>12</xdr:col>
                    <xdr:colOff>0</xdr:colOff>
                    <xdr:row>122</xdr:row>
                    <xdr:rowOff>28575</xdr:rowOff>
                  </to>
                </anchor>
              </controlPr>
            </control>
          </mc:Choice>
        </mc:AlternateContent>
        <mc:AlternateContent xmlns:mc="http://schemas.openxmlformats.org/markup-compatibility/2006">
          <mc:Choice Requires="x14">
            <control shapeId="1469" r:id="rId83" name="Check Box 445">
              <controlPr defaultSize="0" autoFill="0" autoLine="0" autoPict="0">
                <anchor moveWithCells="1">
                  <from>
                    <xdr:col>8</xdr:col>
                    <xdr:colOff>9525</xdr:colOff>
                    <xdr:row>121</xdr:row>
                    <xdr:rowOff>19050</xdr:rowOff>
                  </from>
                  <to>
                    <xdr:col>8</xdr:col>
                    <xdr:colOff>19050</xdr:colOff>
                    <xdr:row>121</xdr:row>
                    <xdr:rowOff>209550</xdr:rowOff>
                  </to>
                </anchor>
              </controlPr>
            </control>
          </mc:Choice>
        </mc:AlternateContent>
        <mc:AlternateContent xmlns:mc="http://schemas.openxmlformats.org/markup-compatibility/2006">
          <mc:Choice Requires="x14">
            <control shapeId="1470" r:id="rId84" name="Check Box 446">
              <controlPr defaultSize="0" autoFill="0" autoLine="0" autoPict="0">
                <anchor moveWithCells="1">
                  <from>
                    <xdr:col>12</xdr:col>
                    <xdr:colOff>0</xdr:colOff>
                    <xdr:row>151</xdr:row>
                    <xdr:rowOff>28575</xdr:rowOff>
                  </from>
                  <to>
                    <xdr:col>12</xdr:col>
                    <xdr:colOff>0</xdr:colOff>
                    <xdr:row>151</xdr:row>
                    <xdr:rowOff>28575</xdr:rowOff>
                  </to>
                </anchor>
              </controlPr>
            </control>
          </mc:Choice>
        </mc:AlternateContent>
        <mc:AlternateContent xmlns:mc="http://schemas.openxmlformats.org/markup-compatibility/2006">
          <mc:Choice Requires="x14">
            <control shapeId="1471" r:id="rId85" name="Check Box 447">
              <controlPr defaultSize="0" autoFill="0" autoLine="0" autoPict="0">
                <anchor moveWithCells="1">
                  <from>
                    <xdr:col>8</xdr:col>
                    <xdr:colOff>9525</xdr:colOff>
                    <xdr:row>150</xdr:row>
                    <xdr:rowOff>19050</xdr:rowOff>
                  </from>
                  <to>
                    <xdr:col>8</xdr:col>
                    <xdr:colOff>19050</xdr:colOff>
                    <xdr:row>150</xdr:row>
                    <xdr:rowOff>209550</xdr:rowOff>
                  </to>
                </anchor>
              </controlPr>
            </control>
          </mc:Choice>
        </mc:AlternateContent>
        <mc:AlternateContent xmlns:mc="http://schemas.openxmlformats.org/markup-compatibility/2006">
          <mc:Choice Requires="x14">
            <control shapeId="1472" r:id="rId86" name="Check Box 448">
              <controlPr defaultSize="0" autoFill="0" autoLine="0" autoPict="0">
                <anchor moveWithCells="1">
                  <from>
                    <xdr:col>12</xdr:col>
                    <xdr:colOff>0</xdr:colOff>
                    <xdr:row>151</xdr:row>
                    <xdr:rowOff>28575</xdr:rowOff>
                  </from>
                  <to>
                    <xdr:col>12</xdr:col>
                    <xdr:colOff>0</xdr:colOff>
                    <xdr:row>151</xdr:row>
                    <xdr:rowOff>28575</xdr:rowOff>
                  </to>
                </anchor>
              </controlPr>
            </control>
          </mc:Choice>
        </mc:AlternateContent>
        <mc:AlternateContent xmlns:mc="http://schemas.openxmlformats.org/markup-compatibility/2006">
          <mc:Choice Requires="x14">
            <control shapeId="1473" r:id="rId87" name="Check Box 449">
              <controlPr defaultSize="0" autoFill="0" autoLine="0" autoPict="0">
                <anchor moveWithCells="1">
                  <from>
                    <xdr:col>8</xdr:col>
                    <xdr:colOff>9525</xdr:colOff>
                    <xdr:row>150</xdr:row>
                    <xdr:rowOff>19050</xdr:rowOff>
                  </from>
                  <to>
                    <xdr:col>8</xdr:col>
                    <xdr:colOff>19050</xdr:colOff>
                    <xdr:row>150</xdr:row>
                    <xdr:rowOff>209550</xdr:rowOff>
                  </to>
                </anchor>
              </controlPr>
            </control>
          </mc:Choice>
        </mc:AlternateContent>
        <mc:AlternateContent xmlns:mc="http://schemas.openxmlformats.org/markup-compatibility/2006">
          <mc:Choice Requires="x14">
            <control shapeId="1474" r:id="rId88" name="Check Box 450">
              <controlPr defaultSize="0" autoFill="0" autoLine="0" autoPict="0">
                <anchor moveWithCells="1">
                  <from>
                    <xdr:col>12</xdr:col>
                    <xdr:colOff>0</xdr:colOff>
                    <xdr:row>181</xdr:row>
                    <xdr:rowOff>28575</xdr:rowOff>
                  </from>
                  <to>
                    <xdr:col>12</xdr:col>
                    <xdr:colOff>0</xdr:colOff>
                    <xdr:row>181</xdr:row>
                    <xdr:rowOff>28575</xdr:rowOff>
                  </to>
                </anchor>
              </controlPr>
            </control>
          </mc:Choice>
        </mc:AlternateContent>
        <mc:AlternateContent xmlns:mc="http://schemas.openxmlformats.org/markup-compatibility/2006">
          <mc:Choice Requires="x14">
            <control shapeId="1475" r:id="rId89" name="Check Box 451">
              <controlPr defaultSize="0" autoFill="0" autoLine="0" autoPict="0">
                <anchor moveWithCells="1">
                  <from>
                    <xdr:col>8</xdr:col>
                    <xdr:colOff>9525</xdr:colOff>
                    <xdr:row>180</xdr:row>
                    <xdr:rowOff>19050</xdr:rowOff>
                  </from>
                  <to>
                    <xdr:col>8</xdr:col>
                    <xdr:colOff>19050</xdr:colOff>
                    <xdr:row>180</xdr:row>
                    <xdr:rowOff>209550</xdr:rowOff>
                  </to>
                </anchor>
              </controlPr>
            </control>
          </mc:Choice>
        </mc:AlternateContent>
        <mc:AlternateContent xmlns:mc="http://schemas.openxmlformats.org/markup-compatibility/2006">
          <mc:Choice Requires="x14">
            <control shapeId="1476" r:id="rId90" name="Check Box 452">
              <controlPr defaultSize="0" autoFill="0" autoLine="0" autoPict="0">
                <anchor moveWithCells="1">
                  <from>
                    <xdr:col>12</xdr:col>
                    <xdr:colOff>0</xdr:colOff>
                    <xdr:row>179</xdr:row>
                    <xdr:rowOff>28575</xdr:rowOff>
                  </from>
                  <to>
                    <xdr:col>12</xdr:col>
                    <xdr:colOff>0</xdr:colOff>
                    <xdr:row>179</xdr:row>
                    <xdr:rowOff>28575</xdr:rowOff>
                  </to>
                </anchor>
              </controlPr>
            </control>
          </mc:Choice>
        </mc:AlternateContent>
        <mc:AlternateContent xmlns:mc="http://schemas.openxmlformats.org/markup-compatibility/2006">
          <mc:Choice Requires="x14">
            <control shapeId="1477" r:id="rId91" name="Check Box 453">
              <controlPr defaultSize="0" autoFill="0" autoLine="0" autoPict="0">
                <anchor moveWithCells="1">
                  <from>
                    <xdr:col>8</xdr:col>
                    <xdr:colOff>9525</xdr:colOff>
                    <xdr:row>178</xdr:row>
                    <xdr:rowOff>19050</xdr:rowOff>
                  </from>
                  <to>
                    <xdr:col>8</xdr:col>
                    <xdr:colOff>19050</xdr:colOff>
                    <xdr:row>178</xdr:row>
                    <xdr:rowOff>209550</xdr:rowOff>
                  </to>
                </anchor>
              </controlPr>
            </control>
          </mc:Choice>
        </mc:AlternateContent>
        <mc:AlternateContent xmlns:mc="http://schemas.openxmlformats.org/markup-compatibility/2006">
          <mc:Choice Requires="x14">
            <control shapeId="1478" r:id="rId92" name="Check Box 454">
              <controlPr defaultSize="0" autoFill="0" autoLine="0" autoPict="0">
                <anchor moveWithCells="1">
                  <from>
                    <xdr:col>12</xdr:col>
                    <xdr:colOff>0</xdr:colOff>
                    <xdr:row>179</xdr:row>
                    <xdr:rowOff>28575</xdr:rowOff>
                  </from>
                  <to>
                    <xdr:col>12</xdr:col>
                    <xdr:colOff>0</xdr:colOff>
                    <xdr:row>179</xdr:row>
                    <xdr:rowOff>28575</xdr:rowOff>
                  </to>
                </anchor>
              </controlPr>
            </control>
          </mc:Choice>
        </mc:AlternateContent>
        <mc:AlternateContent xmlns:mc="http://schemas.openxmlformats.org/markup-compatibility/2006">
          <mc:Choice Requires="x14">
            <control shapeId="1479" r:id="rId93" name="Check Box 455">
              <controlPr defaultSize="0" autoFill="0" autoLine="0" autoPict="0">
                <anchor moveWithCells="1">
                  <from>
                    <xdr:col>8</xdr:col>
                    <xdr:colOff>9525</xdr:colOff>
                    <xdr:row>178</xdr:row>
                    <xdr:rowOff>19050</xdr:rowOff>
                  </from>
                  <to>
                    <xdr:col>8</xdr:col>
                    <xdr:colOff>19050</xdr:colOff>
                    <xdr:row>178</xdr:row>
                    <xdr:rowOff>209550</xdr:rowOff>
                  </to>
                </anchor>
              </controlPr>
            </control>
          </mc:Choice>
        </mc:AlternateContent>
        <mc:AlternateContent xmlns:mc="http://schemas.openxmlformats.org/markup-compatibility/2006">
          <mc:Choice Requires="x14">
            <control shapeId="1480" r:id="rId94" name="Check Box 456">
              <controlPr defaultSize="0" autoFill="0" autoLine="0" autoPict="0">
                <anchor moveWithCells="1">
                  <from>
                    <xdr:col>12</xdr:col>
                    <xdr:colOff>0</xdr:colOff>
                    <xdr:row>180</xdr:row>
                    <xdr:rowOff>28575</xdr:rowOff>
                  </from>
                  <to>
                    <xdr:col>12</xdr:col>
                    <xdr:colOff>0</xdr:colOff>
                    <xdr:row>180</xdr:row>
                    <xdr:rowOff>28575</xdr:rowOff>
                  </to>
                </anchor>
              </controlPr>
            </control>
          </mc:Choice>
        </mc:AlternateContent>
        <mc:AlternateContent xmlns:mc="http://schemas.openxmlformats.org/markup-compatibility/2006">
          <mc:Choice Requires="x14">
            <control shapeId="1481" r:id="rId95" name="Check Box 457">
              <controlPr defaultSize="0" autoFill="0" autoLine="0" autoPict="0">
                <anchor moveWithCells="1">
                  <from>
                    <xdr:col>8</xdr:col>
                    <xdr:colOff>9525</xdr:colOff>
                    <xdr:row>179</xdr:row>
                    <xdr:rowOff>19050</xdr:rowOff>
                  </from>
                  <to>
                    <xdr:col>8</xdr:col>
                    <xdr:colOff>19050</xdr:colOff>
                    <xdr:row>179</xdr:row>
                    <xdr:rowOff>209550</xdr:rowOff>
                  </to>
                </anchor>
              </controlPr>
            </control>
          </mc:Choice>
        </mc:AlternateContent>
        <mc:AlternateContent xmlns:mc="http://schemas.openxmlformats.org/markup-compatibility/2006">
          <mc:Choice Requires="x14">
            <control shapeId="1482" r:id="rId96" name="Check Box 458">
              <controlPr defaultSize="0" autoFill="0" autoLine="0" autoPict="0">
                <anchor moveWithCells="1">
                  <from>
                    <xdr:col>12</xdr:col>
                    <xdr:colOff>0</xdr:colOff>
                    <xdr:row>180</xdr:row>
                    <xdr:rowOff>28575</xdr:rowOff>
                  </from>
                  <to>
                    <xdr:col>12</xdr:col>
                    <xdr:colOff>0</xdr:colOff>
                    <xdr:row>180</xdr:row>
                    <xdr:rowOff>28575</xdr:rowOff>
                  </to>
                </anchor>
              </controlPr>
            </control>
          </mc:Choice>
        </mc:AlternateContent>
        <mc:AlternateContent xmlns:mc="http://schemas.openxmlformats.org/markup-compatibility/2006">
          <mc:Choice Requires="x14">
            <control shapeId="1483" r:id="rId97" name="Check Box 459">
              <controlPr defaultSize="0" autoFill="0" autoLine="0" autoPict="0">
                <anchor moveWithCells="1">
                  <from>
                    <xdr:col>8</xdr:col>
                    <xdr:colOff>9525</xdr:colOff>
                    <xdr:row>179</xdr:row>
                    <xdr:rowOff>19050</xdr:rowOff>
                  </from>
                  <to>
                    <xdr:col>8</xdr:col>
                    <xdr:colOff>19050</xdr:colOff>
                    <xdr:row>179</xdr:row>
                    <xdr:rowOff>209550</xdr:rowOff>
                  </to>
                </anchor>
              </controlPr>
            </control>
          </mc:Choice>
        </mc:AlternateContent>
        <mc:AlternateContent xmlns:mc="http://schemas.openxmlformats.org/markup-compatibility/2006">
          <mc:Choice Requires="x14">
            <control shapeId="1484" r:id="rId98" name="Check Box 460">
              <controlPr defaultSize="0" autoFill="0" autoLine="0" autoPict="0">
                <anchor moveWithCells="1">
                  <from>
                    <xdr:col>12</xdr:col>
                    <xdr:colOff>0</xdr:colOff>
                    <xdr:row>184</xdr:row>
                    <xdr:rowOff>28575</xdr:rowOff>
                  </from>
                  <to>
                    <xdr:col>12</xdr:col>
                    <xdr:colOff>0</xdr:colOff>
                    <xdr:row>184</xdr:row>
                    <xdr:rowOff>28575</xdr:rowOff>
                  </to>
                </anchor>
              </controlPr>
            </control>
          </mc:Choice>
        </mc:AlternateContent>
        <mc:AlternateContent xmlns:mc="http://schemas.openxmlformats.org/markup-compatibility/2006">
          <mc:Choice Requires="x14">
            <control shapeId="1485" r:id="rId99" name="Check Box 461">
              <controlPr defaultSize="0" autoFill="0" autoLine="0" autoPict="0">
                <anchor moveWithCells="1">
                  <from>
                    <xdr:col>12</xdr:col>
                    <xdr:colOff>0</xdr:colOff>
                    <xdr:row>185</xdr:row>
                    <xdr:rowOff>28575</xdr:rowOff>
                  </from>
                  <to>
                    <xdr:col>12</xdr:col>
                    <xdr:colOff>0</xdr:colOff>
                    <xdr:row>185</xdr:row>
                    <xdr:rowOff>28575</xdr:rowOff>
                  </to>
                </anchor>
              </controlPr>
            </control>
          </mc:Choice>
        </mc:AlternateContent>
        <mc:AlternateContent xmlns:mc="http://schemas.openxmlformats.org/markup-compatibility/2006">
          <mc:Choice Requires="x14">
            <control shapeId="1486" r:id="rId100" name="Check Box 462">
              <controlPr defaultSize="0" autoFill="0" autoLine="0" autoPict="0">
                <anchor moveWithCells="1">
                  <from>
                    <xdr:col>12</xdr:col>
                    <xdr:colOff>0</xdr:colOff>
                    <xdr:row>186</xdr:row>
                    <xdr:rowOff>28575</xdr:rowOff>
                  </from>
                  <to>
                    <xdr:col>12</xdr:col>
                    <xdr:colOff>0</xdr:colOff>
                    <xdr:row>186</xdr:row>
                    <xdr:rowOff>28575</xdr:rowOff>
                  </to>
                </anchor>
              </controlPr>
            </control>
          </mc:Choice>
        </mc:AlternateContent>
        <mc:AlternateContent xmlns:mc="http://schemas.openxmlformats.org/markup-compatibility/2006">
          <mc:Choice Requires="x14">
            <control shapeId="1487" r:id="rId101" name="Check Box 463">
              <controlPr defaultSize="0" autoFill="0" autoLine="0" autoPict="0">
                <anchor moveWithCells="1">
                  <from>
                    <xdr:col>12</xdr:col>
                    <xdr:colOff>0</xdr:colOff>
                    <xdr:row>187</xdr:row>
                    <xdr:rowOff>28575</xdr:rowOff>
                  </from>
                  <to>
                    <xdr:col>12</xdr:col>
                    <xdr:colOff>0</xdr:colOff>
                    <xdr:row>187</xdr:row>
                    <xdr:rowOff>28575</xdr:rowOff>
                  </to>
                </anchor>
              </controlPr>
            </control>
          </mc:Choice>
        </mc:AlternateContent>
        <mc:AlternateContent xmlns:mc="http://schemas.openxmlformats.org/markup-compatibility/2006">
          <mc:Choice Requires="x14">
            <control shapeId="1488" r:id="rId102" name="Check Box 464">
              <controlPr defaultSize="0" autoFill="0" autoLine="0" autoPict="0">
                <anchor moveWithCells="1">
                  <from>
                    <xdr:col>12</xdr:col>
                    <xdr:colOff>0</xdr:colOff>
                    <xdr:row>188</xdr:row>
                    <xdr:rowOff>28575</xdr:rowOff>
                  </from>
                  <to>
                    <xdr:col>12</xdr:col>
                    <xdr:colOff>0</xdr:colOff>
                    <xdr:row>188</xdr:row>
                    <xdr:rowOff>28575</xdr:rowOff>
                  </to>
                </anchor>
              </controlPr>
            </control>
          </mc:Choice>
        </mc:AlternateContent>
        <mc:AlternateContent xmlns:mc="http://schemas.openxmlformats.org/markup-compatibility/2006">
          <mc:Choice Requires="x14">
            <control shapeId="1489" r:id="rId103" name="Check Box 465">
              <controlPr defaultSize="0" autoFill="0" autoLine="0" autoPict="0">
                <anchor moveWithCells="1">
                  <from>
                    <xdr:col>12</xdr:col>
                    <xdr:colOff>0</xdr:colOff>
                    <xdr:row>189</xdr:row>
                    <xdr:rowOff>28575</xdr:rowOff>
                  </from>
                  <to>
                    <xdr:col>12</xdr:col>
                    <xdr:colOff>0</xdr:colOff>
                    <xdr:row>189</xdr:row>
                    <xdr:rowOff>28575</xdr:rowOff>
                  </to>
                </anchor>
              </controlPr>
            </control>
          </mc:Choice>
        </mc:AlternateContent>
        <mc:AlternateContent xmlns:mc="http://schemas.openxmlformats.org/markup-compatibility/2006">
          <mc:Choice Requires="x14">
            <control shapeId="1490" r:id="rId104" name="Check Box 466">
              <controlPr defaultSize="0" autoFill="0" autoLine="0" autoPict="0">
                <anchor moveWithCells="1">
                  <from>
                    <xdr:col>12</xdr:col>
                    <xdr:colOff>0</xdr:colOff>
                    <xdr:row>190</xdr:row>
                    <xdr:rowOff>28575</xdr:rowOff>
                  </from>
                  <to>
                    <xdr:col>12</xdr:col>
                    <xdr:colOff>0</xdr:colOff>
                    <xdr:row>190</xdr:row>
                    <xdr:rowOff>28575</xdr:rowOff>
                  </to>
                </anchor>
              </controlPr>
            </control>
          </mc:Choice>
        </mc:AlternateContent>
        <mc:AlternateContent xmlns:mc="http://schemas.openxmlformats.org/markup-compatibility/2006">
          <mc:Choice Requires="x14">
            <control shapeId="1491" r:id="rId105" name="Check Box 467">
              <controlPr defaultSize="0" autoFill="0" autoLine="0" autoPict="0">
                <anchor moveWithCells="1">
                  <from>
                    <xdr:col>12</xdr:col>
                    <xdr:colOff>0</xdr:colOff>
                    <xdr:row>191</xdr:row>
                    <xdr:rowOff>28575</xdr:rowOff>
                  </from>
                  <to>
                    <xdr:col>12</xdr:col>
                    <xdr:colOff>0</xdr:colOff>
                    <xdr:row>191</xdr:row>
                    <xdr:rowOff>28575</xdr:rowOff>
                  </to>
                </anchor>
              </controlPr>
            </control>
          </mc:Choice>
        </mc:AlternateContent>
        <mc:AlternateContent xmlns:mc="http://schemas.openxmlformats.org/markup-compatibility/2006">
          <mc:Choice Requires="x14">
            <control shapeId="1492" r:id="rId106" name="Check Box 468">
              <controlPr defaultSize="0" autoFill="0" autoLine="0" autoPict="0">
                <anchor moveWithCells="1">
                  <from>
                    <xdr:col>12</xdr:col>
                    <xdr:colOff>0</xdr:colOff>
                    <xdr:row>192</xdr:row>
                    <xdr:rowOff>28575</xdr:rowOff>
                  </from>
                  <to>
                    <xdr:col>12</xdr:col>
                    <xdr:colOff>0</xdr:colOff>
                    <xdr:row>192</xdr:row>
                    <xdr:rowOff>28575</xdr:rowOff>
                  </to>
                </anchor>
              </controlPr>
            </control>
          </mc:Choice>
        </mc:AlternateContent>
        <mc:AlternateContent xmlns:mc="http://schemas.openxmlformats.org/markup-compatibility/2006">
          <mc:Choice Requires="x14">
            <control shapeId="1493" r:id="rId107" name="Check Box 469">
              <controlPr defaultSize="0" autoFill="0" autoLine="0" autoPict="0">
                <anchor moveWithCells="1">
                  <from>
                    <xdr:col>12</xdr:col>
                    <xdr:colOff>0</xdr:colOff>
                    <xdr:row>193</xdr:row>
                    <xdr:rowOff>28575</xdr:rowOff>
                  </from>
                  <to>
                    <xdr:col>12</xdr:col>
                    <xdr:colOff>0</xdr:colOff>
                    <xdr:row>193</xdr:row>
                    <xdr:rowOff>28575</xdr:rowOff>
                  </to>
                </anchor>
              </controlPr>
            </control>
          </mc:Choice>
        </mc:AlternateContent>
        <mc:AlternateContent xmlns:mc="http://schemas.openxmlformats.org/markup-compatibility/2006">
          <mc:Choice Requires="x14">
            <control shapeId="1494" r:id="rId108" name="Check Box 470">
              <controlPr defaultSize="0" autoFill="0" autoLine="0" autoPict="0">
                <anchor moveWithCells="1">
                  <from>
                    <xdr:col>12</xdr:col>
                    <xdr:colOff>0</xdr:colOff>
                    <xdr:row>194</xdr:row>
                    <xdr:rowOff>28575</xdr:rowOff>
                  </from>
                  <to>
                    <xdr:col>12</xdr:col>
                    <xdr:colOff>0</xdr:colOff>
                    <xdr:row>194</xdr:row>
                    <xdr:rowOff>28575</xdr:rowOff>
                  </to>
                </anchor>
              </controlPr>
            </control>
          </mc:Choice>
        </mc:AlternateContent>
        <mc:AlternateContent xmlns:mc="http://schemas.openxmlformats.org/markup-compatibility/2006">
          <mc:Choice Requires="x14">
            <control shapeId="1495" r:id="rId109" name="Check Box 471">
              <controlPr defaultSize="0" autoFill="0" autoLine="0" autoPict="0">
                <anchor moveWithCells="1">
                  <from>
                    <xdr:col>12</xdr:col>
                    <xdr:colOff>0</xdr:colOff>
                    <xdr:row>195</xdr:row>
                    <xdr:rowOff>28575</xdr:rowOff>
                  </from>
                  <to>
                    <xdr:col>12</xdr:col>
                    <xdr:colOff>0</xdr:colOff>
                    <xdr:row>195</xdr:row>
                    <xdr:rowOff>28575</xdr:rowOff>
                  </to>
                </anchor>
              </controlPr>
            </control>
          </mc:Choice>
        </mc:AlternateContent>
        <mc:AlternateContent xmlns:mc="http://schemas.openxmlformats.org/markup-compatibility/2006">
          <mc:Choice Requires="x14">
            <control shapeId="1496" r:id="rId110" name="Check Box 472">
              <controlPr defaultSize="0" autoFill="0" autoLine="0" autoPict="0">
                <anchor moveWithCells="1">
                  <from>
                    <xdr:col>12</xdr:col>
                    <xdr:colOff>0</xdr:colOff>
                    <xdr:row>196</xdr:row>
                    <xdr:rowOff>28575</xdr:rowOff>
                  </from>
                  <to>
                    <xdr:col>12</xdr:col>
                    <xdr:colOff>0</xdr:colOff>
                    <xdr:row>196</xdr:row>
                    <xdr:rowOff>28575</xdr:rowOff>
                  </to>
                </anchor>
              </controlPr>
            </control>
          </mc:Choice>
        </mc:AlternateContent>
        <mc:AlternateContent xmlns:mc="http://schemas.openxmlformats.org/markup-compatibility/2006">
          <mc:Choice Requires="x14">
            <control shapeId="1497" r:id="rId111" name="Check Box 473">
              <controlPr defaultSize="0" autoFill="0" autoLine="0" autoPict="0">
                <anchor moveWithCells="1">
                  <from>
                    <xdr:col>12</xdr:col>
                    <xdr:colOff>0</xdr:colOff>
                    <xdr:row>197</xdr:row>
                    <xdr:rowOff>28575</xdr:rowOff>
                  </from>
                  <to>
                    <xdr:col>12</xdr:col>
                    <xdr:colOff>0</xdr:colOff>
                    <xdr:row>197</xdr:row>
                    <xdr:rowOff>28575</xdr:rowOff>
                  </to>
                </anchor>
              </controlPr>
            </control>
          </mc:Choice>
        </mc:AlternateContent>
        <mc:AlternateContent xmlns:mc="http://schemas.openxmlformats.org/markup-compatibility/2006">
          <mc:Choice Requires="x14">
            <control shapeId="1498" r:id="rId112" name="Check Box 474">
              <controlPr defaultSize="0" autoFill="0" autoLine="0" autoPict="0">
                <anchor moveWithCells="1">
                  <from>
                    <xdr:col>12</xdr:col>
                    <xdr:colOff>0</xdr:colOff>
                    <xdr:row>198</xdr:row>
                    <xdr:rowOff>28575</xdr:rowOff>
                  </from>
                  <to>
                    <xdr:col>12</xdr:col>
                    <xdr:colOff>0</xdr:colOff>
                    <xdr:row>198</xdr:row>
                    <xdr:rowOff>28575</xdr:rowOff>
                  </to>
                </anchor>
              </controlPr>
            </control>
          </mc:Choice>
        </mc:AlternateContent>
        <mc:AlternateContent xmlns:mc="http://schemas.openxmlformats.org/markup-compatibility/2006">
          <mc:Choice Requires="x14">
            <control shapeId="1499" r:id="rId113" name="Check Box 475">
              <controlPr defaultSize="0" autoFill="0" autoLine="0" autoPict="0">
                <anchor moveWithCells="1">
                  <from>
                    <xdr:col>12</xdr:col>
                    <xdr:colOff>0</xdr:colOff>
                    <xdr:row>199</xdr:row>
                    <xdr:rowOff>28575</xdr:rowOff>
                  </from>
                  <to>
                    <xdr:col>12</xdr:col>
                    <xdr:colOff>0</xdr:colOff>
                    <xdr:row>199</xdr:row>
                    <xdr:rowOff>28575</xdr:rowOff>
                  </to>
                </anchor>
              </controlPr>
            </control>
          </mc:Choice>
        </mc:AlternateContent>
        <mc:AlternateContent xmlns:mc="http://schemas.openxmlformats.org/markup-compatibility/2006">
          <mc:Choice Requires="x14">
            <control shapeId="1500" r:id="rId114" name="Check Box 476">
              <controlPr defaultSize="0" autoFill="0" autoLine="0" autoPict="0">
                <anchor moveWithCells="1">
                  <from>
                    <xdr:col>12</xdr:col>
                    <xdr:colOff>0</xdr:colOff>
                    <xdr:row>200</xdr:row>
                    <xdr:rowOff>28575</xdr:rowOff>
                  </from>
                  <to>
                    <xdr:col>12</xdr:col>
                    <xdr:colOff>0</xdr:colOff>
                    <xdr:row>200</xdr:row>
                    <xdr:rowOff>28575</xdr:rowOff>
                  </to>
                </anchor>
              </controlPr>
            </control>
          </mc:Choice>
        </mc:AlternateContent>
        <mc:AlternateContent xmlns:mc="http://schemas.openxmlformats.org/markup-compatibility/2006">
          <mc:Choice Requires="x14">
            <control shapeId="1501" r:id="rId115" name="Check Box 477">
              <controlPr defaultSize="0" autoFill="0" autoLine="0" autoPict="0">
                <anchor moveWithCells="1">
                  <from>
                    <xdr:col>12</xdr:col>
                    <xdr:colOff>0</xdr:colOff>
                    <xdr:row>201</xdr:row>
                    <xdr:rowOff>28575</xdr:rowOff>
                  </from>
                  <to>
                    <xdr:col>12</xdr:col>
                    <xdr:colOff>0</xdr:colOff>
                    <xdr:row>201</xdr:row>
                    <xdr:rowOff>28575</xdr:rowOff>
                  </to>
                </anchor>
              </controlPr>
            </control>
          </mc:Choice>
        </mc:AlternateContent>
        <mc:AlternateContent xmlns:mc="http://schemas.openxmlformats.org/markup-compatibility/2006">
          <mc:Choice Requires="x14">
            <control shapeId="1502" r:id="rId116" name="Check Box 478">
              <controlPr defaultSize="0" autoFill="0" autoLine="0" autoPict="0">
                <anchor moveWithCells="1">
                  <from>
                    <xdr:col>12</xdr:col>
                    <xdr:colOff>0</xdr:colOff>
                    <xdr:row>202</xdr:row>
                    <xdr:rowOff>28575</xdr:rowOff>
                  </from>
                  <to>
                    <xdr:col>12</xdr:col>
                    <xdr:colOff>0</xdr:colOff>
                    <xdr:row>202</xdr:row>
                    <xdr:rowOff>28575</xdr:rowOff>
                  </to>
                </anchor>
              </controlPr>
            </control>
          </mc:Choice>
        </mc:AlternateContent>
        <mc:AlternateContent xmlns:mc="http://schemas.openxmlformats.org/markup-compatibility/2006">
          <mc:Choice Requires="x14">
            <control shapeId="1504" r:id="rId117" name="Check Box 480">
              <controlPr defaultSize="0" autoFill="0" autoLine="0" autoPict="0">
                <anchor moveWithCells="1">
                  <from>
                    <xdr:col>12</xdr:col>
                    <xdr:colOff>0</xdr:colOff>
                    <xdr:row>209</xdr:row>
                    <xdr:rowOff>28575</xdr:rowOff>
                  </from>
                  <to>
                    <xdr:col>12</xdr:col>
                    <xdr:colOff>0</xdr:colOff>
                    <xdr:row>209</xdr:row>
                    <xdr:rowOff>28575</xdr:rowOff>
                  </to>
                </anchor>
              </controlPr>
            </control>
          </mc:Choice>
        </mc:AlternateContent>
        <mc:AlternateContent xmlns:mc="http://schemas.openxmlformats.org/markup-compatibility/2006">
          <mc:Choice Requires="x14">
            <control shapeId="1505" r:id="rId118" name="Check Box 481">
              <controlPr defaultSize="0" autoFill="0" autoLine="0" autoPict="0">
                <anchor moveWithCells="1">
                  <from>
                    <xdr:col>8</xdr:col>
                    <xdr:colOff>9525</xdr:colOff>
                    <xdr:row>208</xdr:row>
                    <xdr:rowOff>19050</xdr:rowOff>
                  </from>
                  <to>
                    <xdr:col>8</xdr:col>
                    <xdr:colOff>19050</xdr:colOff>
                    <xdr:row>208</xdr:row>
                    <xdr:rowOff>209550</xdr:rowOff>
                  </to>
                </anchor>
              </controlPr>
            </control>
          </mc:Choice>
        </mc:AlternateContent>
        <mc:AlternateContent xmlns:mc="http://schemas.openxmlformats.org/markup-compatibility/2006">
          <mc:Choice Requires="x14">
            <control shapeId="1506" r:id="rId119" name="Check Box 482">
              <controlPr defaultSize="0" autoFill="0" autoLine="0" autoPict="0">
                <anchor moveWithCells="1">
                  <from>
                    <xdr:col>12</xdr:col>
                    <xdr:colOff>0</xdr:colOff>
                    <xdr:row>239</xdr:row>
                    <xdr:rowOff>28575</xdr:rowOff>
                  </from>
                  <to>
                    <xdr:col>12</xdr:col>
                    <xdr:colOff>0</xdr:colOff>
                    <xdr:row>239</xdr:row>
                    <xdr:rowOff>28575</xdr:rowOff>
                  </to>
                </anchor>
              </controlPr>
            </control>
          </mc:Choice>
        </mc:AlternateContent>
        <mc:AlternateContent xmlns:mc="http://schemas.openxmlformats.org/markup-compatibility/2006">
          <mc:Choice Requires="x14">
            <control shapeId="1507" r:id="rId120" name="Check Box 483">
              <controlPr defaultSize="0" autoFill="0" autoLine="0" autoPict="0">
                <anchor moveWithCells="1">
                  <from>
                    <xdr:col>8</xdr:col>
                    <xdr:colOff>9525</xdr:colOff>
                    <xdr:row>238</xdr:row>
                    <xdr:rowOff>19050</xdr:rowOff>
                  </from>
                  <to>
                    <xdr:col>8</xdr:col>
                    <xdr:colOff>19050</xdr:colOff>
                    <xdr:row>238</xdr:row>
                    <xdr:rowOff>209550</xdr:rowOff>
                  </to>
                </anchor>
              </controlPr>
            </control>
          </mc:Choice>
        </mc:AlternateContent>
        <mc:AlternateContent xmlns:mc="http://schemas.openxmlformats.org/markup-compatibility/2006">
          <mc:Choice Requires="x14">
            <control shapeId="1508" r:id="rId121" name="Check Box 484">
              <controlPr defaultSize="0" autoFill="0" autoLine="0" autoPict="0">
                <anchor moveWithCells="1">
                  <from>
                    <xdr:col>12</xdr:col>
                    <xdr:colOff>0</xdr:colOff>
                    <xdr:row>270</xdr:row>
                    <xdr:rowOff>28575</xdr:rowOff>
                  </from>
                  <to>
                    <xdr:col>12</xdr:col>
                    <xdr:colOff>0</xdr:colOff>
                    <xdr:row>270</xdr:row>
                    <xdr:rowOff>28575</xdr:rowOff>
                  </to>
                </anchor>
              </controlPr>
            </control>
          </mc:Choice>
        </mc:AlternateContent>
        <mc:AlternateContent xmlns:mc="http://schemas.openxmlformats.org/markup-compatibility/2006">
          <mc:Choice Requires="x14">
            <control shapeId="1509" r:id="rId122" name="Check Box 485">
              <controlPr defaultSize="0" autoFill="0" autoLine="0" autoPict="0">
                <anchor moveWithCells="1">
                  <from>
                    <xdr:col>8</xdr:col>
                    <xdr:colOff>9525</xdr:colOff>
                    <xdr:row>269</xdr:row>
                    <xdr:rowOff>19050</xdr:rowOff>
                  </from>
                  <to>
                    <xdr:col>8</xdr:col>
                    <xdr:colOff>19050</xdr:colOff>
                    <xdr:row>269</xdr:row>
                    <xdr:rowOff>209550</xdr:rowOff>
                  </to>
                </anchor>
              </controlPr>
            </control>
          </mc:Choice>
        </mc:AlternateContent>
        <mc:AlternateContent xmlns:mc="http://schemas.openxmlformats.org/markup-compatibility/2006">
          <mc:Choice Requires="x14">
            <control shapeId="1510" r:id="rId123" name="Check Box 486">
              <controlPr defaultSize="0" autoFill="0" autoLine="0" autoPict="0">
                <anchor moveWithCells="1">
                  <from>
                    <xdr:col>12</xdr:col>
                    <xdr:colOff>0</xdr:colOff>
                    <xdr:row>300</xdr:row>
                    <xdr:rowOff>28575</xdr:rowOff>
                  </from>
                  <to>
                    <xdr:col>12</xdr:col>
                    <xdr:colOff>0</xdr:colOff>
                    <xdr:row>300</xdr:row>
                    <xdr:rowOff>28575</xdr:rowOff>
                  </to>
                </anchor>
              </controlPr>
            </control>
          </mc:Choice>
        </mc:AlternateContent>
        <mc:AlternateContent xmlns:mc="http://schemas.openxmlformats.org/markup-compatibility/2006">
          <mc:Choice Requires="x14">
            <control shapeId="1511" r:id="rId124" name="Check Box 487">
              <controlPr defaultSize="0" autoFill="0" autoLine="0" autoPict="0">
                <anchor moveWithCells="1">
                  <from>
                    <xdr:col>8</xdr:col>
                    <xdr:colOff>9525</xdr:colOff>
                    <xdr:row>299</xdr:row>
                    <xdr:rowOff>19050</xdr:rowOff>
                  </from>
                  <to>
                    <xdr:col>8</xdr:col>
                    <xdr:colOff>19050</xdr:colOff>
                    <xdr:row>300</xdr:row>
                    <xdr:rowOff>19050</xdr:rowOff>
                  </to>
                </anchor>
              </controlPr>
            </control>
          </mc:Choice>
        </mc:AlternateContent>
        <mc:AlternateContent xmlns:mc="http://schemas.openxmlformats.org/markup-compatibility/2006">
          <mc:Choice Requires="x14">
            <control shapeId="1512" r:id="rId125" name="Check Box 488">
              <controlPr defaultSize="0" autoFill="0" autoLine="0" autoPict="0">
                <anchor moveWithCells="1">
                  <from>
                    <xdr:col>12</xdr:col>
                    <xdr:colOff>0</xdr:colOff>
                    <xdr:row>237</xdr:row>
                    <xdr:rowOff>28575</xdr:rowOff>
                  </from>
                  <to>
                    <xdr:col>12</xdr:col>
                    <xdr:colOff>0</xdr:colOff>
                    <xdr:row>237</xdr:row>
                    <xdr:rowOff>28575</xdr:rowOff>
                  </to>
                </anchor>
              </controlPr>
            </control>
          </mc:Choice>
        </mc:AlternateContent>
        <mc:AlternateContent xmlns:mc="http://schemas.openxmlformats.org/markup-compatibility/2006">
          <mc:Choice Requires="x14">
            <control shapeId="1513" r:id="rId126" name="Check Box 489">
              <controlPr defaultSize="0" autoFill="0" autoLine="0" autoPict="0">
                <anchor moveWithCells="1">
                  <from>
                    <xdr:col>8</xdr:col>
                    <xdr:colOff>9525</xdr:colOff>
                    <xdr:row>236</xdr:row>
                    <xdr:rowOff>19050</xdr:rowOff>
                  </from>
                  <to>
                    <xdr:col>8</xdr:col>
                    <xdr:colOff>19050</xdr:colOff>
                    <xdr:row>236</xdr:row>
                    <xdr:rowOff>209550</xdr:rowOff>
                  </to>
                </anchor>
              </controlPr>
            </control>
          </mc:Choice>
        </mc:AlternateContent>
        <mc:AlternateContent xmlns:mc="http://schemas.openxmlformats.org/markup-compatibility/2006">
          <mc:Choice Requires="x14">
            <control shapeId="1514" r:id="rId127" name="Check Box 490">
              <controlPr defaultSize="0" autoFill="0" autoLine="0" autoPict="0">
                <anchor moveWithCells="1">
                  <from>
                    <xdr:col>12</xdr:col>
                    <xdr:colOff>0</xdr:colOff>
                    <xdr:row>268</xdr:row>
                    <xdr:rowOff>28575</xdr:rowOff>
                  </from>
                  <to>
                    <xdr:col>12</xdr:col>
                    <xdr:colOff>0</xdr:colOff>
                    <xdr:row>268</xdr:row>
                    <xdr:rowOff>28575</xdr:rowOff>
                  </to>
                </anchor>
              </controlPr>
            </control>
          </mc:Choice>
        </mc:AlternateContent>
        <mc:AlternateContent xmlns:mc="http://schemas.openxmlformats.org/markup-compatibility/2006">
          <mc:Choice Requires="x14">
            <control shapeId="1515" r:id="rId128" name="Check Box 491">
              <controlPr defaultSize="0" autoFill="0" autoLine="0" autoPict="0">
                <anchor moveWithCells="1">
                  <from>
                    <xdr:col>8</xdr:col>
                    <xdr:colOff>9525</xdr:colOff>
                    <xdr:row>267</xdr:row>
                    <xdr:rowOff>19050</xdr:rowOff>
                  </from>
                  <to>
                    <xdr:col>8</xdr:col>
                    <xdr:colOff>19050</xdr:colOff>
                    <xdr:row>267</xdr:row>
                    <xdr:rowOff>209550</xdr:rowOff>
                  </to>
                </anchor>
              </controlPr>
            </control>
          </mc:Choice>
        </mc:AlternateContent>
        <mc:AlternateContent xmlns:mc="http://schemas.openxmlformats.org/markup-compatibility/2006">
          <mc:Choice Requires="x14">
            <control shapeId="1516" r:id="rId129" name="Check Box 492">
              <controlPr defaultSize="0" autoFill="0" autoLine="0" autoPict="0">
                <anchor moveWithCells="1">
                  <from>
                    <xdr:col>12</xdr:col>
                    <xdr:colOff>0</xdr:colOff>
                    <xdr:row>266</xdr:row>
                    <xdr:rowOff>28575</xdr:rowOff>
                  </from>
                  <to>
                    <xdr:col>12</xdr:col>
                    <xdr:colOff>0</xdr:colOff>
                    <xdr:row>266</xdr:row>
                    <xdr:rowOff>28575</xdr:rowOff>
                  </to>
                </anchor>
              </controlPr>
            </control>
          </mc:Choice>
        </mc:AlternateContent>
        <mc:AlternateContent xmlns:mc="http://schemas.openxmlformats.org/markup-compatibility/2006">
          <mc:Choice Requires="x14">
            <control shapeId="1517" r:id="rId130" name="Check Box 493">
              <controlPr defaultSize="0" autoFill="0" autoLine="0" autoPict="0">
                <anchor moveWithCells="1">
                  <from>
                    <xdr:col>8</xdr:col>
                    <xdr:colOff>9525</xdr:colOff>
                    <xdr:row>265</xdr:row>
                    <xdr:rowOff>19050</xdr:rowOff>
                  </from>
                  <to>
                    <xdr:col>8</xdr:col>
                    <xdr:colOff>19050</xdr:colOff>
                    <xdr:row>265</xdr:row>
                    <xdr:rowOff>209550</xdr:rowOff>
                  </to>
                </anchor>
              </controlPr>
            </control>
          </mc:Choice>
        </mc:AlternateContent>
        <mc:AlternateContent xmlns:mc="http://schemas.openxmlformats.org/markup-compatibility/2006">
          <mc:Choice Requires="x14">
            <control shapeId="1518" r:id="rId131" name="Check Box 494">
              <controlPr defaultSize="0" autoFill="0" autoLine="0" autoPict="0">
                <anchor moveWithCells="1">
                  <from>
                    <xdr:col>12</xdr:col>
                    <xdr:colOff>0</xdr:colOff>
                    <xdr:row>237</xdr:row>
                    <xdr:rowOff>28575</xdr:rowOff>
                  </from>
                  <to>
                    <xdr:col>12</xdr:col>
                    <xdr:colOff>0</xdr:colOff>
                    <xdr:row>237</xdr:row>
                    <xdr:rowOff>28575</xdr:rowOff>
                  </to>
                </anchor>
              </controlPr>
            </control>
          </mc:Choice>
        </mc:AlternateContent>
        <mc:AlternateContent xmlns:mc="http://schemas.openxmlformats.org/markup-compatibility/2006">
          <mc:Choice Requires="x14">
            <control shapeId="1519" r:id="rId132" name="Check Box 495">
              <controlPr defaultSize="0" autoFill="0" autoLine="0" autoPict="0">
                <anchor moveWithCells="1">
                  <from>
                    <xdr:col>8</xdr:col>
                    <xdr:colOff>9525</xdr:colOff>
                    <xdr:row>236</xdr:row>
                    <xdr:rowOff>19050</xdr:rowOff>
                  </from>
                  <to>
                    <xdr:col>8</xdr:col>
                    <xdr:colOff>19050</xdr:colOff>
                    <xdr:row>236</xdr:row>
                    <xdr:rowOff>209550</xdr:rowOff>
                  </to>
                </anchor>
              </controlPr>
            </control>
          </mc:Choice>
        </mc:AlternateContent>
        <mc:AlternateContent xmlns:mc="http://schemas.openxmlformats.org/markup-compatibility/2006">
          <mc:Choice Requires="x14">
            <control shapeId="1520" r:id="rId133" name="Check Box 496">
              <controlPr defaultSize="0" autoFill="0" autoLine="0" autoPict="0">
                <anchor moveWithCells="1">
                  <from>
                    <xdr:col>12</xdr:col>
                    <xdr:colOff>0</xdr:colOff>
                    <xdr:row>209</xdr:row>
                    <xdr:rowOff>28575</xdr:rowOff>
                  </from>
                  <to>
                    <xdr:col>12</xdr:col>
                    <xdr:colOff>0</xdr:colOff>
                    <xdr:row>209</xdr:row>
                    <xdr:rowOff>28575</xdr:rowOff>
                  </to>
                </anchor>
              </controlPr>
            </control>
          </mc:Choice>
        </mc:AlternateContent>
        <mc:AlternateContent xmlns:mc="http://schemas.openxmlformats.org/markup-compatibility/2006">
          <mc:Choice Requires="x14">
            <control shapeId="1521" r:id="rId134" name="Check Box 497">
              <controlPr defaultSize="0" autoFill="0" autoLine="0" autoPict="0">
                <anchor moveWithCells="1">
                  <from>
                    <xdr:col>8</xdr:col>
                    <xdr:colOff>9525</xdr:colOff>
                    <xdr:row>208</xdr:row>
                    <xdr:rowOff>19050</xdr:rowOff>
                  </from>
                  <to>
                    <xdr:col>8</xdr:col>
                    <xdr:colOff>19050</xdr:colOff>
                    <xdr:row>208</xdr:row>
                    <xdr:rowOff>209550</xdr:rowOff>
                  </to>
                </anchor>
              </controlPr>
            </control>
          </mc:Choice>
        </mc:AlternateContent>
        <mc:AlternateContent xmlns:mc="http://schemas.openxmlformats.org/markup-compatibility/2006">
          <mc:Choice Requires="x14">
            <control shapeId="1522" r:id="rId135" name="Check Box 498">
              <controlPr defaultSize="0" autoFill="0" autoLine="0" autoPict="0">
                <anchor moveWithCells="1">
                  <from>
                    <xdr:col>12</xdr:col>
                    <xdr:colOff>0</xdr:colOff>
                    <xdr:row>238</xdr:row>
                    <xdr:rowOff>28575</xdr:rowOff>
                  </from>
                  <to>
                    <xdr:col>12</xdr:col>
                    <xdr:colOff>0</xdr:colOff>
                    <xdr:row>238</xdr:row>
                    <xdr:rowOff>28575</xdr:rowOff>
                  </to>
                </anchor>
              </controlPr>
            </control>
          </mc:Choice>
        </mc:AlternateContent>
        <mc:AlternateContent xmlns:mc="http://schemas.openxmlformats.org/markup-compatibility/2006">
          <mc:Choice Requires="x14">
            <control shapeId="1523" r:id="rId136" name="Check Box 499">
              <controlPr defaultSize="0" autoFill="0" autoLine="0" autoPict="0">
                <anchor moveWithCells="1">
                  <from>
                    <xdr:col>8</xdr:col>
                    <xdr:colOff>9525</xdr:colOff>
                    <xdr:row>237</xdr:row>
                    <xdr:rowOff>19050</xdr:rowOff>
                  </from>
                  <to>
                    <xdr:col>8</xdr:col>
                    <xdr:colOff>19050</xdr:colOff>
                    <xdr:row>237</xdr:row>
                    <xdr:rowOff>209550</xdr:rowOff>
                  </to>
                </anchor>
              </controlPr>
            </control>
          </mc:Choice>
        </mc:AlternateContent>
        <mc:AlternateContent xmlns:mc="http://schemas.openxmlformats.org/markup-compatibility/2006">
          <mc:Choice Requires="x14">
            <control shapeId="1524" r:id="rId137" name="Check Box 500">
              <controlPr defaultSize="0" autoFill="0" autoLine="0" autoPict="0">
                <anchor moveWithCells="1">
                  <from>
                    <xdr:col>12</xdr:col>
                    <xdr:colOff>0</xdr:colOff>
                    <xdr:row>238</xdr:row>
                    <xdr:rowOff>28575</xdr:rowOff>
                  </from>
                  <to>
                    <xdr:col>12</xdr:col>
                    <xdr:colOff>0</xdr:colOff>
                    <xdr:row>238</xdr:row>
                    <xdr:rowOff>28575</xdr:rowOff>
                  </to>
                </anchor>
              </controlPr>
            </control>
          </mc:Choice>
        </mc:AlternateContent>
        <mc:AlternateContent xmlns:mc="http://schemas.openxmlformats.org/markup-compatibility/2006">
          <mc:Choice Requires="x14">
            <control shapeId="1525" r:id="rId138" name="Check Box 501">
              <controlPr defaultSize="0" autoFill="0" autoLine="0" autoPict="0">
                <anchor moveWithCells="1">
                  <from>
                    <xdr:col>8</xdr:col>
                    <xdr:colOff>9525</xdr:colOff>
                    <xdr:row>237</xdr:row>
                    <xdr:rowOff>19050</xdr:rowOff>
                  </from>
                  <to>
                    <xdr:col>8</xdr:col>
                    <xdr:colOff>19050</xdr:colOff>
                    <xdr:row>237</xdr:row>
                    <xdr:rowOff>209550</xdr:rowOff>
                  </to>
                </anchor>
              </controlPr>
            </control>
          </mc:Choice>
        </mc:AlternateContent>
        <mc:AlternateContent xmlns:mc="http://schemas.openxmlformats.org/markup-compatibility/2006">
          <mc:Choice Requires="x14">
            <control shapeId="1526" r:id="rId139" name="Check Box 502">
              <controlPr defaultSize="0" autoFill="0" autoLine="0" autoPict="0">
                <anchor moveWithCells="1">
                  <from>
                    <xdr:col>12</xdr:col>
                    <xdr:colOff>0</xdr:colOff>
                    <xdr:row>268</xdr:row>
                    <xdr:rowOff>28575</xdr:rowOff>
                  </from>
                  <to>
                    <xdr:col>12</xdr:col>
                    <xdr:colOff>0</xdr:colOff>
                    <xdr:row>268</xdr:row>
                    <xdr:rowOff>28575</xdr:rowOff>
                  </to>
                </anchor>
              </controlPr>
            </control>
          </mc:Choice>
        </mc:AlternateContent>
        <mc:AlternateContent xmlns:mc="http://schemas.openxmlformats.org/markup-compatibility/2006">
          <mc:Choice Requires="x14">
            <control shapeId="1527" r:id="rId140" name="Check Box 503">
              <controlPr defaultSize="0" autoFill="0" autoLine="0" autoPict="0">
                <anchor moveWithCells="1">
                  <from>
                    <xdr:col>8</xdr:col>
                    <xdr:colOff>9525</xdr:colOff>
                    <xdr:row>267</xdr:row>
                    <xdr:rowOff>19050</xdr:rowOff>
                  </from>
                  <to>
                    <xdr:col>8</xdr:col>
                    <xdr:colOff>19050</xdr:colOff>
                    <xdr:row>267</xdr:row>
                    <xdr:rowOff>209550</xdr:rowOff>
                  </to>
                </anchor>
              </controlPr>
            </control>
          </mc:Choice>
        </mc:AlternateContent>
        <mc:AlternateContent xmlns:mc="http://schemas.openxmlformats.org/markup-compatibility/2006">
          <mc:Choice Requires="x14">
            <control shapeId="1528" r:id="rId141" name="Check Box 504">
              <controlPr defaultSize="0" autoFill="0" autoLine="0" autoPict="0">
                <anchor moveWithCells="1">
                  <from>
                    <xdr:col>12</xdr:col>
                    <xdr:colOff>0</xdr:colOff>
                    <xdr:row>266</xdr:row>
                    <xdr:rowOff>28575</xdr:rowOff>
                  </from>
                  <to>
                    <xdr:col>12</xdr:col>
                    <xdr:colOff>0</xdr:colOff>
                    <xdr:row>266</xdr:row>
                    <xdr:rowOff>28575</xdr:rowOff>
                  </to>
                </anchor>
              </controlPr>
            </control>
          </mc:Choice>
        </mc:AlternateContent>
        <mc:AlternateContent xmlns:mc="http://schemas.openxmlformats.org/markup-compatibility/2006">
          <mc:Choice Requires="x14">
            <control shapeId="1529" r:id="rId142" name="Check Box 505">
              <controlPr defaultSize="0" autoFill="0" autoLine="0" autoPict="0">
                <anchor moveWithCells="1">
                  <from>
                    <xdr:col>8</xdr:col>
                    <xdr:colOff>9525</xdr:colOff>
                    <xdr:row>265</xdr:row>
                    <xdr:rowOff>19050</xdr:rowOff>
                  </from>
                  <to>
                    <xdr:col>8</xdr:col>
                    <xdr:colOff>19050</xdr:colOff>
                    <xdr:row>265</xdr:row>
                    <xdr:rowOff>209550</xdr:rowOff>
                  </to>
                </anchor>
              </controlPr>
            </control>
          </mc:Choice>
        </mc:AlternateContent>
        <mc:AlternateContent xmlns:mc="http://schemas.openxmlformats.org/markup-compatibility/2006">
          <mc:Choice Requires="x14">
            <control shapeId="1530" r:id="rId143" name="Check Box 506">
              <controlPr defaultSize="0" autoFill="0" autoLine="0" autoPict="0">
                <anchor moveWithCells="1">
                  <from>
                    <xdr:col>12</xdr:col>
                    <xdr:colOff>0</xdr:colOff>
                    <xdr:row>266</xdr:row>
                    <xdr:rowOff>28575</xdr:rowOff>
                  </from>
                  <to>
                    <xdr:col>12</xdr:col>
                    <xdr:colOff>0</xdr:colOff>
                    <xdr:row>266</xdr:row>
                    <xdr:rowOff>28575</xdr:rowOff>
                  </to>
                </anchor>
              </controlPr>
            </control>
          </mc:Choice>
        </mc:AlternateContent>
        <mc:AlternateContent xmlns:mc="http://schemas.openxmlformats.org/markup-compatibility/2006">
          <mc:Choice Requires="x14">
            <control shapeId="1531" r:id="rId144" name="Check Box 507">
              <controlPr defaultSize="0" autoFill="0" autoLine="0" autoPict="0">
                <anchor moveWithCells="1">
                  <from>
                    <xdr:col>8</xdr:col>
                    <xdr:colOff>9525</xdr:colOff>
                    <xdr:row>265</xdr:row>
                    <xdr:rowOff>19050</xdr:rowOff>
                  </from>
                  <to>
                    <xdr:col>8</xdr:col>
                    <xdr:colOff>19050</xdr:colOff>
                    <xdr:row>265</xdr:row>
                    <xdr:rowOff>209550</xdr:rowOff>
                  </to>
                </anchor>
              </controlPr>
            </control>
          </mc:Choice>
        </mc:AlternateContent>
        <mc:AlternateContent xmlns:mc="http://schemas.openxmlformats.org/markup-compatibility/2006">
          <mc:Choice Requires="x14">
            <control shapeId="1532" r:id="rId145" name="Check Box 508">
              <controlPr defaultSize="0" autoFill="0" autoLine="0" autoPict="0">
                <anchor moveWithCells="1">
                  <from>
                    <xdr:col>12</xdr:col>
                    <xdr:colOff>0</xdr:colOff>
                    <xdr:row>267</xdr:row>
                    <xdr:rowOff>28575</xdr:rowOff>
                  </from>
                  <to>
                    <xdr:col>12</xdr:col>
                    <xdr:colOff>0</xdr:colOff>
                    <xdr:row>267</xdr:row>
                    <xdr:rowOff>28575</xdr:rowOff>
                  </to>
                </anchor>
              </controlPr>
            </control>
          </mc:Choice>
        </mc:AlternateContent>
        <mc:AlternateContent xmlns:mc="http://schemas.openxmlformats.org/markup-compatibility/2006">
          <mc:Choice Requires="x14">
            <control shapeId="1533" r:id="rId146" name="Check Box 509">
              <controlPr defaultSize="0" autoFill="0" autoLine="0" autoPict="0">
                <anchor moveWithCells="1">
                  <from>
                    <xdr:col>8</xdr:col>
                    <xdr:colOff>9525</xdr:colOff>
                    <xdr:row>266</xdr:row>
                    <xdr:rowOff>19050</xdr:rowOff>
                  </from>
                  <to>
                    <xdr:col>8</xdr:col>
                    <xdr:colOff>19050</xdr:colOff>
                    <xdr:row>266</xdr:row>
                    <xdr:rowOff>209550</xdr:rowOff>
                  </to>
                </anchor>
              </controlPr>
            </control>
          </mc:Choice>
        </mc:AlternateContent>
        <mc:AlternateContent xmlns:mc="http://schemas.openxmlformats.org/markup-compatibility/2006">
          <mc:Choice Requires="x14">
            <control shapeId="1534" r:id="rId147" name="Check Box 510">
              <controlPr defaultSize="0" autoFill="0" autoLine="0" autoPict="0">
                <anchor moveWithCells="1">
                  <from>
                    <xdr:col>12</xdr:col>
                    <xdr:colOff>0</xdr:colOff>
                    <xdr:row>267</xdr:row>
                    <xdr:rowOff>28575</xdr:rowOff>
                  </from>
                  <to>
                    <xdr:col>12</xdr:col>
                    <xdr:colOff>0</xdr:colOff>
                    <xdr:row>267</xdr:row>
                    <xdr:rowOff>28575</xdr:rowOff>
                  </to>
                </anchor>
              </controlPr>
            </control>
          </mc:Choice>
        </mc:AlternateContent>
        <mc:AlternateContent xmlns:mc="http://schemas.openxmlformats.org/markup-compatibility/2006">
          <mc:Choice Requires="x14">
            <control shapeId="1535" r:id="rId148" name="Check Box 511">
              <controlPr defaultSize="0" autoFill="0" autoLine="0" autoPict="0">
                <anchor moveWithCells="1">
                  <from>
                    <xdr:col>8</xdr:col>
                    <xdr:colOff>9525</xdr:colOff>
                    <xdr:row>266</xdr:row>
                    <xdr:rowOff>19050</xdr:rowOff>
                  </from>
                  <to>
                    <xdr:col>8</xdr:col>
                    <xdr:colOff>19050</xdr:colOff>
                    <xdr:row>266</xdr:row>
                    <xdr:rowOff>209550</xdr:rowOff>
                  </to>
                </anchor>
              </controlPr>
            </control>
          </mc:Choice>
        </mc:AlternateContent>
        <mc:AlternateContent xmlns:mc="http://schemas.openxmlformats.org/markup-compatibility/2006">
          <mc:Choice Requires="x14">
            <control shapeId="1536" r:id="rId149" name="Check Box 512">
              <controlPr defaultSize="0" autoFill="0" autoLine="0" autoPict="0">
                <anchor moveWithCells="1">
                  <from>
                    <xdr:col>12</xdr:col>
                    <xdr:colOff>0</xdr:colOff>
                    <xdr:row>271</xdr:row>
                    <xdr:rowOff>28575</xdr:rowOff>
                  </from>
                  <to>
                    <xdr:col>12</xdr:col>
                    <xdr:colOff>0</xdr:colOff>
                    <xdr:row>271</xdr:row>
                    <xdr:rowOff>28575</xdr:rowOff>
                  </to>
                </anchor>
              </controlPr>
            </control>
          </mc:Choice>
        </mc:AlternateContent>
        <mc:AlternateContent xmlns:mc="http://schemas.openxmlformats.org/markup-compatibility/2006">
          <mc:Choice Requires="x14">
            <control shapeId="1537" r:id="rId150" name="Check Box 513">
              <controlPr defaultSize="0" autoFill="0" autoLine="0" autoPict="0">
                <anchor moveWithCells="1">
                  <from>
                    <xdr:col>12</xdr:col>
                    <xdr:colOff>0</xdr:colOff>
                    <xdr:row>272</xdr:row>
                    <xdr:rowOff>28575</xdr:rowOff>
                  </from>
                  <to>
                    <xdr:col>12</xdr:col>
                    <xdr:colOff>0</xdr:colOff>
                    <xdr:row>272</xdr:row>
                    <xdr:rowOff>28575</xdr:rowOff>
                  </to>
                </anchor>
              </controlPr>
            </control>
          </mc:Choice>
        </mc:AlternateContent>
        <mc:AlternateContent xmlns:mc="http://schemas.openxmlformats.org/markup-compatibility/2006">
          <mc:Choice Requires="x14">
            <control shapeId="1538" r:id="rId151" name="Check Box 514">
              <controlPr defaultSize="0" autoFill="0" autoLine="0" autoPict="0">
                <anchor moveWithCells="1">
                  <from>
                    <xdr:col>12</xdr:col>
                    <xdr:colOff>0</xdr:colOff>
                    <xdr:row>273</xdr:row>
                    <xdr:rowOff>28575</xdr:rowOff>
                  </from>
                  <to>
                    <xdr:col>12</xdr:col>
                    <xdr:colOff>0</xdr:colOff>
                    <xdr:row>273</xdr:row>
                    <xdr:rowOff>28575</xdr:rowOff>
                  </to>
                </anchor>
              </controlPr>
            </control>
          </mc:Choice>
        </mc:AlternateContent>
        <mc:AlternateContent xmlns:mc="http://schemas.openxmlformats.org/markup-compatibility/2006">
          <mc:Choice Requires="x14">
            <control shapeId="1539" r:id="rId152" name="Check Box 515">
              <controlPr defaultSize="0" autoFill="0" autoLine="0" autoPict="0">
                <anchor moveWithCells="1">
                  <from>
                    <xdr:col>12</xdr:col>
                    <xdr:colOff>0</xdr:colOff>
                    <xdr:row>274</xdr:row>
                    <xdr:rowOff>28575</xdr:rowOff>
                  </from>
                  <to>
                    <xdr:col>12</xdr:col>
                    <xdr:colOff>0</xdr:colOff>
                    <xdr:row>274</xdr:row>
                    <xdr:rowOff>28575</xdr:rowOff>
                  </to>
                </anchor>
              </controlPr>
            </control>
          </mc:Choice>
        </mc:AlternateContent>
        <mc:AlternateContent xmlns:mc="http://schemas.openxmlformats.org/markup-compatibility/2006">
          <mc:Choice Requires="x14">
            <control shapeId="1540" r:id="rId153" name="Check Box 516">
              <controlPr defaultSize="0" autoFill="0" autoLine="0" autoPict="0">
                <anchor moveWithCells="1">
                  <from>
                    <xdr:col>12</xdr:col>
                    <xdr:colOff>0</xdr:colOff>
                    <xdr:row>275</xdr:row>
                    <xdr:rowOff>28575</xdr:rowOff>
                  </from>
                  <to>
                    <xdr:col>12</xdr:col>
                    <xdr:colOff>0</xdr:colOff>
                    <xdr:row>275</xdr:row>
                    <xdr:rowOff>28575</xdr:rowOff>
                  </to>
                </anchor>
              </controlPr>
            </control>
          </mc:Choice>
        </mc:AlternateContent>
        <mc:AlternateContent xmlns:mc="http://schemas.openxmlformats.org/markup-compatibility/2006">
          <mc:Choice Requires="x14">
            <control shapeId="1541" r:id="rId154" name="Check Box 517">
              <controlPr defaultSize="0" autoFill="0" autoLine="0" autoPict="0">
                <anchor moveWithCells="1">
                  <from>
                    <xdr:col>12</xdr:col>
                    <xdr:colOff>0</xdr:colOff>
                    <xdr:row>276</xdr:row>
                    <xdr:rowOff>28575</xdr:rowOff>
                  </from>
                  <to>
                    <xdr:col>12</xdr:col>
                    <xdr:colOff>0</xdr:colOff>
                    <xdr:row>276</xdr:row>
                    <xdr:rowOff>28575</xdr:rowOff>
                  </to>
                </anchor>
              </controlPr>
            </control>
          </mc:Choice>
        </mc:AlternateContent>
        <mc:AlternateContent xmlns:mc="http://schemas.openxmlformats.org/markup-compatibility/2006">
          <mc:Choice Requires="x14">
            <control shapeId="1542" r:id="rId155" name="Check Box 518">
              <controlPr defaultSize="0" autoFill="0" autoLine="0" autoPict="0">
                <anchor moveWithCells="1">
                  <from>
                    <xdr:col>12</xdr:col>
                    <xdr:colOff>0</xdr:colOff>
                    <xdr:row>277</xdr:row>
                    <xdr:rowOff>28575</xdr:rowOff>
                  </from>
                  <to>
                    <xdr:col>12</xdr:col>
                    <xdr:colOff>0</xdr:colOff>
                    <xdr:row>277</xdr:row>
                    <xdr:rowOff>28575</xdr:rowOff>
                  </to>
                </anchor>
              </controlPr>
            </control>
          </mc:Choice>
        </mc:AlternateContent>
        <mc:AlternateContent xmlns:mc="http://schemas.openxmlformats.org/markup-compatibility/2006">
          <mc:Choice Requires="x14">
            <control shapeId="1543" r:id="rId156" name="Check Box 519">
              <controlPr defaultSize="0" autoFill="0" autoLine="0" autoPict="0">
                <anchor moveWithCells="1">
                  <from>
                    <xdr:col>12</xdr:col>
                    <xdr:colOff>0</xdr:colOff>
                    <xdr:row>278</xdr:row>
                    <xdr:rowOff>28575</xdr:rowOff>
                  </from>
                  <to>
                    <xdr:col>12</xdr:col>
                    <xdr:colOff>0</xdr:colOff>
                    <xdr:row>278</xdr:row>
                    <xdr:rowOff>28575</xdr:rowOff>
                  </to>
                </anchor>
              </controlPr>
            </control>
          </mc:Choice>
        </mc:AlternateContent>
        <mc:AlternateContent xmlns:mc="http://schemas.openxmlformats.org/markup-compatibility/2006">
          <mc:Choice Requires="x14">
            <control shapeId="1544" r:id="rId157" name="Check Box 520">
              <controlPr defaultSize="0" autoFill="0" autoLine="0" autoPict="0">
                <anchor moveWithCells="1">
                  <from>
                    <xdr:col>12</xdr:col>
                    <xdr:colOff>0</xdr:colOff>
                    <xdr:row>279</xdr:row>
                    <xdr:rowOff>28575</xdr:rowOff>
                  </from>
                  <to>
                    <xdr:col>12</xdr:col>
                    <xdr:colOff>0</xdr:colOff>
                    <xdr:row>279</xdr:row>
                    <xdr:rowOff>28575</xdr:rowOff>
                  </to>
                </anchor>
              </controlPr>
            </control>
          </mc:Choice>
        </mc:AlternateContent>
        <mc:AlternateContent xmlns:mc="http://schemas.openxmlformats.org/markup-compatibility/2006">
          <mc:Choice Requires="x14">
            <control shapeId="1545" r:id="rId158" name="Check Box 521">
              <controlPr defaultSize="0" autoFill="0" autoLine="0" autoPict="0">
                <anchor moveWithCells="1">
                  <from>
                    <xdr:col>12</xdr:col>
                    <xdr:colOff>0</xdr:colOff>
                    <xdr:row>280</xdr:row>
                    <xdr:rowOff>28575</xdr:rowOff>
                  </from>
                  <to>
                    <xdr:col>12</xdr:col>
                    <xdr:colOff>0</xdr:colOff>
                    <xdr:row>280</xdr:row>
                    <xdr:rowOff>28575</xdr:rowOff>
                  </to>
                </anchor>
              </controlPr>
            </control>
          </mc:Choice>
        </mc:AlternateContent>
        <mc:AlternateContent xmlns:mc="http://schemas.openxmlformats.org/markup-compatibility/2006">
          <mc:Choice Requires="x14">
            <control shapeId="1546" r:id="rId159" name="Check Box 522">
              <controlPr defaultSize="0" autoFill="0" autoLine="0" autoPict="0">
                <anchor moveWithCells="1">
                  <from>
                    <xdr:col>12</xdr:col>
                    <xdr:colOff>0</xdr:colOff>
                    <xdr:row>281</xdr:row>
                    <xdr:rowOff>28575</xdr:rowOff>
                  </from>
                  <to>
                    <xdr:col>12</xdr:col>
                    <xdr:colOff>0</xdr:colOff>
                    <xdr:row>281</xdr:row>
                    <xdr:rowOff>28575</xdr:rowOff>
                  </to>
                </anchor>
              </controlPr>
            </control>
          </mc:Choice>
        </mc:AlternateContent>
        <mc:AlternateContent xmlns:mc="http://schemas.openxmlformats.org/markup-compatibility/2006">
          <mc:Choice Requires="x14">
            <control shapeId="1547" r:id="rId160" name="Check Box 523">
              <controlPr defaultSize="0" autoFill="0" autoLine="0" autoPict="0">
                <anchor moveWithCells="1">
                  <from>
                    <xdr:col>12</xdr:col>
                    <xdr:colOff>0</xdr:colOff>
                    <xdr:row>282</xdr:row>
                    <xdr:rowOff>28575</xdr:rowOff>
                  </from>
                  <to>
                    <xdr:col>12</xdr:col>
                    <xdr:colOff>0</xdr:colOff>
                    <xdr:row>282</xdr:row>
                    <xdr:rowOff>28575</xdr:rowOff>
                  </to>
                </anchor>
              </controlPr>
            </control>
          </mc:Choice>
        </mc:AlternateContent>
        <mc:AlternateContent xmlns:mc="http://schemas.openxmlformats.org/markup-compatibility/2006">
          <mc:Choice Requires="x14">
            <control shapeId="1548" r:id="rId161" name="Check Box 524">
              <controlPr defaultSize="0" autoFill="0" autoLine="0" autoPict="0">
                <anchor moveWithCells="1">
                  <from>
                    <xdr:col>12</xdr:col>
                    <xdr:colOff>0</xdr:colOff>
                    <xdr:row>283</xdr:row>
                    <xdr:rowOff>28575</xdr:rowOff>
                  </from>
                  <to>
                    <xdr:col>12</xdr:col>
                    <xdr:colOff>0</xdr:colOff>
                    <xdr:row>283</xdr:row>
                    <xdr:rowOff>28575</xdr:rowOff>
                  </to>
                </anchor>
              </controlPr>
            </control>
          </mc:Choice>
        </mc:AlternateContent>
        <mc:AlternateContent xmlns:mc="http://schemas.openxmlformats.org/markup-compatibility/2006">
          <mc:Choice Requires="x14">
            <control shapeId="1549" r:id="rId162" name="Check Box 525">
              <controlPr defaultSize="0" autoFill="0" autoLine="0" autoPict="0">
                <anchor moveWithCells="1">
                  <from>
                    <xdr:col>12</xdr:col>
                    <xdr:colOff>0</xdr:colOff>
                    <xdr:row>284</xdr:row>
                    <xdr:rowOff>28575</xdr:rowOff>
                  </from>
                  <to>
                    <xdr:col>12</xdr:col>
                    <xdr:colOff>0</xdr:colOff>
                    <xdr:row>284</xdr:row>
                    <xdr:rowOff>28575</xdr:rowOff>
                  </to>
                </anchor>
              </controlPr>
            </control>
          </mc:Choice>
        </mc:AlternateContent>
        <mc:AlternateContent xmlns:mc="http://schemas.openxmlformats.org/markup-compatibility/2006">
          <mc:Choice Requires="x14">
            <control shapeId="1550" r:id="rId163" name="Check Box 526">
              <controlPr defaultSize="0" autoFill="0" autoLine="0" autoPict="0">
                <anchor moveWithCells="1">
                  <from>
                    <xdr:col>12</xdr:col>
                    <xdr:colOff>0</xdr:colOff>
                    <xdr:row>285</xdr:row>
                    <xdr:rowOff>28575</xdr:rowOff>
                  </from>
                  <to>
                    <xdr:col>12</xdr:col>
                    <xdr:colOff>0</xdr:colOff>
                    <xdr:row>285</xdr:row>
                    <xdr:rowOff>28575</xdr:rowOff>
                  </to>
                </anchor>
              </controlPr>
            </control>
          </mc:Choice>
        </mc:AlternateContent>
        <mc:AlternateContent xmlns:mc="http://schemas.openxmlformats.org/markup-compatibility/2006">
          <mc:Choice Requires="x14">
            <control shapeId="1551" r:id="rId164" name="Check Box 527">
              <controlPr defaultSize="0" autoFill="0" autoLine="0" autoPict="0">
                <anchor moveWithCells="1">
                  <from>
                    <xdr:col>12</xdr:col>
                    <xdr:colOff>0</xdr:colOff>
                    <xdr:row>286</xdr:row>
                    <xdr:rowOff>28575</xdr:rowOff>
                  </from>
                  <to>
                    <xdr:col>12</xdr:col>
                    <xdr:colOff>0</xdr:colOff>
                    <xdr:row>286</xdr:row>
                    <xdr:rowOff>28575</xdr:rowOff>
                  </to>
                </anchor>
              </controlPr>
            </control>
          </mc:Choice>
        </mc:AlternateContent>
        <mc:AlternateContent xmlns:mc="http://schemas.openxmlformats.org/markup-compatibility/2006">
          <mc:Choice Requires="x14">
            <control shapeId="1552" r:id="rId165" name="Check Box 528">
              <controlPr defaultSize="0" autoFill="0" autoLine="0" autoPict="0">
                <anchor moveWithCells="1">
                  <from>
                    <xdr:col>12</xdr:col>
                    <xdr:colOff>0</xdr:colOff>
                    <xdr:row>287</xdr:row>
                    <xdr:rowOff>28575</xdr:rowOff>
                  </from>
                  <to>
                    <xdr:col>12</xdr:col>
                    <xdr:colOff>0</xdr:colOff>
                    <xdr:row>287</xdr:row>
                    <xdr:rowOff>28575</xdr:rowOff>
                  </to>
                </anchor>
              </controlPr>
            </control>
          </mc:Choice>
        </mc:AlternateContent>
        <mc:AlternateContent xmlns:mc="http://schemas.openxmlformats.org/markup-compatibility/2006">
          <mc:Choice Requires="x14">
            <control shapeId="1553" r:id="rId166" name="Check Box 529">
              <controlPr defaultSize="0" autoFill="0" autoLine="0" autoPict="0">
                <anchor moveWithCells="1">
                  <from>
                    <xdr:col>12</xdr:col>
                    <xdr:colOff>0</xdr:colOff>
                    <xdr:row>288</xdr:row>
                    <xdr:rowOff>28575</xdr:rowOff>
                  </from>
                  <to>
                    <xdr:col>12</xdr:col>
                    <xdr:colOff>0</xdr:colOff>
                    <xdr:row>288</xdr:row>
                    <xdr:rowOff>28575</xdr:rowOff>
                  </to>
                </anchor>
              </controlPr>
            </control>
          </mc:Choice>
        </mc:AlternateContent>
        <mc:AlternateContent xmlns:mc="http://schemas.openxmlformats.org/markup-compatibility/2006">
          <mc:Choice Requires="x14">
            <control shapeId="1554" r:id="rId167" name="Check Box 530">
              <controlPr defaultSize="0" autoFill="0" autoLine="0" autoPict="0">
                <anchor moveWithCells="1">
                  <from>
                    <xdr:col>12</xdr:col>
                    <xdr:colOff>0</xdr:colOff>
                    <xdr:row>289</xdr:row>
                    <xdr:rowOff>28575</xdr:rowOff>
                  </from>
                  <to>
                    <xdr:col>12</xdr:col>
                    <xdr:colOff>0</xdr:colOff>
                    <xdr:row>289</xdr:row>
                    <xdr:rowOff>28575</xdr:rowOff>
                  </to>
                </anchor>
              </controlPr>
            </control>
          </mc:Choice>
        </mc:AlternateContent>
        <mc:AlternateContent xmlns:mc="http://schemas.openxmlformats.org/markup-compatibility/2006">
          <mc:Choice Requires="x14">
            <control shapeId="1556" r:id="rId168" name="Check Box 532">
              <controlPr defaultSize="0" autoFill="0" autoLine="0" autoPict="0">
                <anchor moveWithCells="1">
                  <from>
                    <xdr:col>12</xdr:col>
                    <xdr:colOff>0</xdr:colOff>
                    <xdr:row>296</xdr:row>
                    <xdr:rowOff>28575</xdr:rowOff>
                  </from>
                  <to>
                    <xdr:col>12</xdr:col>
                    <xdr:colOff>0</xdr:colOff>
                    <xdr:row>296</xdr:row>
                    <xdr:rowOff>28575</xdr:rowOff>
                  </to>
                </anchor>
              </controlPr>
            </control>
          </mc:Choice>
        </mc:AlternateContent>
        <mc:AlternateContent xmlns:mc="http://schemas.openxmlformats.org/markup-compatibility/2006">
          <mc:Choice Requires="x14">
            <control shapeId="1557" r:id="rId169" name="Check Box 533">
              <controlPr defaultSize="0" autoFill="0" autoLine="0" autoPict="0">
                <anchor moveWithCells="1">
                  <from>
                    <xdr:col>8</xdr:col>
                    <xdr:colOff>9525</xdr:colOff>
                    <xdr:row>295</xdr:row>
                    <xdr:rowOff>19050</xdr:rowOff>
                  </from>
                  <to>
                    <xdr:col>8</xdr:col>
                    <xdr:colOff>19050</xdr:colOff>
                    <xdr:row>295</xdr:row>
                    <xdr:rowOff>209550</xdr:rowOff>
                  </to>
                </anchor>
              </controlPr>
            </control>
          </mc:Choice>
        </mc:AlternateContent>
        <mc:AlternateContent xmlns:mc="http://schemas.openxmlformats.org/markup-compatibility/2006">
          <mc:Choice Requires="x14">
            <control shapeId="1558" r:id="rId170" name="Check Box 534">
              <controlPr defaultSize="0" autoFill="0" autoLine="0" autoPict="0">
                <anchor moveWithCells="1">
                  <from>
                    <xdr:col>12</xdr:col>
                    <xdr:colOff>0</xdr:colOff>
                    <xdr:row>326</xdr:row>
                    <xdr:rowOff>28575</xdr:rowOff>
                  </from>
                  <to>
                    <xdr:col>12</xdr:col>
                    <xdr:colOff>0</xdr:colOff>
                    <xdr:row>326</xdr:row>
                    <xdr:rowOff>28575</xdr:rowOff>
                  </to>
                </anchor>
              </controlPr>
            </control>
          </mc:Choice>
        </mc:AlternateContent>
        <mc:AlternateContent xmlns:mc="http://schemas.openxmlformats.org/markup-compatibility/2006">
          <mc:Choice Requires="x14">
            <control shapeId="1559" r:id="rId171" name="Check Box 535">
              <controlPr defaultSize="0" autoFill="0" autoLine="0" autoPict="0">
                <anchor moveWithCells="1">
                  <from>
                    <xdr:col>8</xdr:col>
                    <xdr:colOff>9525</xdr:colOff>
                    <xdr:row>325</xdr:row>
                    <xdr:rowOff>19050</xdr:rowOff>
                  </from>
                  <to>
                    <xdr:col>8</xdr:col>
                    <xdr:colOff>19050</xdr:colOff>
                    <xdr:row>325</xdr:row>
                    <xdr:rowOff>209550</xdr:rowOff>
                  </to>
                </anchor>
              </controlPr>
            </control>
          </mc:Choice>
        </mc:AlternateContent>
        <mc:AlternateContent xmlns:mc="http://schemas.openxmlformats.org/markup-compatibility/2006">
          <mc:Choice Requires="x14">
            <control shapeId="1560" r:id="rId172" name="Check Box 536">
              <controlPr defaultSize="0" autoFill="0" autoLine="0" autoPict="0">
                <anchor moveWithCells="1">
                  <from>
                    <xdr:col>12</xdr:col>
                    <xdr:colOff>0</xdr:colOff>
                    <xdr:row>357</xdr:row>
                    <xdr:rowOff>28575</xdr:rowOff>
                  </from>
                  <to>
                    <xdr:col>12</xdr:col>
                    <xdr:colOff>0</xdr:colOff>
                    <xdr:row>357</xdr:row>
                    <xdr:rowOff>28575</xdr:rowOff>
                  </to>
                </anchor>
              </controlPr>
            </control>
          </mc:Choice>
        </mc:AlternateContent>
        <mc:AlternateContent xmlns:mc="http://schemas.openxmlformats.org/markup-compatibility/2006">
          <mc:Choice Requires="x14">
            <control shapeId="1561" r:id="rId173" name="Check Box 537">
              <controlPr defaultSize="0" autoFill="0" autoLine="0" autoPict="0">
                <anchor moveWithCells="1">
                  <from>
                    <xdr:col>8</xdr:col>
                    <xdr:colOff>9525</xdr:colOff>
                    <xdr:row>356</xdr:row>
                    <xdr:rowOff>19050</xdr:rowOff>
                  </from>
                  <to>
                    <xdr:col>8</xdr:col>
                    <xdr:colOff>19050</xdr:colOff>
                    <xdr:row>356</xdr:row>
                    <xdr:rowOff>209550</xdr:rowOff>
                  </to>
                </anchor>
              </controlPr>
            </control>
          </mc:Choice>
        </mc:AlternateContent>
        <mc:AlternateContent xmlns:mc="http://schemas.openxmlformats.org/markup-compatibility/2006">
          <mc:Choice Requires="x14">
            <control shapeId="1562" r:id="rId174" name="Check Box 538">
              <controlPr defaultSize="0" autoFill="0" autoLine="0" autoPict="0">
                <anchor moveWithCells="1">
                  <from>
                    <xdr:col>12</xdr:col>
                    <xdr:colOff>0</xdr:colOff>
                    <xdr:row>324</xdr:row>
                    <xdr:rowOff>28575</xdr:rowOff>
                  </from>
                  <to>
                    <xdr:col>12</xdr:col>
                    <xdr:colOff>0</xdr:colOff>
                    <xdr:row>324</xdr:row>
                    <xdr:rowOff>28575</xdr:rowOff>
                  </to>
                </anchor>
              </controlPr>
            </control>
          </mc:Choice>
        </mc:AlternateContent>
        <mc:AlternateContent xmlns:mc="http://schemas.openxmlformats.org/markup-compatibility/2006">
          <mc:Choice Requires="x14">
            <control shapeId="1563" r:id="rId175" name="Check Box 539">
              <controlPr defaultSize="0" autoFill="0" autoLine="0" autoPict="0">
                <anchor moveWithCells="1">
                  <from>
                    <xdr:col>8</xdr:col>
                    <xdr:colOff>9525</xdr:colOff>
                    <xdr:row>323</xdr:row>
                    <xdr:rowOff>19050</xdr:rowOff>
                  </from>
                  <to>
                    <xdr:col>8</xdr:col>
                    <xdr:colOff>19050</xdr:colOff>
                    <xdr:row>323</xdr:row>
                    <xdr:rowOff>209550</xdr:rowOff>
                  </to>
                </anchor>
              </controlPr>
            </control>
          </mc:Choice>
        </mc:AlternateContent>
        <mc:AlternateContent xmlns:mc="http://schemas.openxmlformats.org/markup-compatibility/2006">
          <mc:Choice Requires="x14">
            <control shapeId="1564" r:id="rId176" name="Check Box 540">
              <controlPr defaultSize="0" autoFill="0" autoLine="0" autoPict="0">
                <anchor moveWithCells="1">
                  <from>
                    <xdr:col>12</xdr:col>
                    <xdr:colOff>0</xdr:colOff>
                    <xdr:row>355</xdr:row>
                    <xdr:rowOff>28575</xdr:rowOff>
                  </from>
                  <to>
                    <xdr:col>12</xdr:col>
                    <xdr:colOff>0</xdr:colOff>
                    <xdr:row>355</xdr:row>
                    <xdr:rowOff>28575</xdr:rowOff>
                  </to>
                </anchor>
              </controlPr>
            </control>
          </mc:Choice>
        </mc:AlternateContent>
        <mc:AlternateContent xmlns:mc="http://schemas.openxmlformats.org/markup-compatibility/2006">
          <mc:Choice Requires="x14">
            <control shapeId="1565" r:id="rId177" name="Check Box 541">
              <controlPr defaultSize="0" autoFill="0" autoLine="0" autoPict="0">
                <anchor moveWithCells="1">
                  <from>
                    <xdr:col>8</xdr:col>
                    <xdr:colOff>9525</xdr:colOff>
                    <xdr:row>354</xdr:row>
                    <xdr:rowOff>19050</xdr:rowOff>
                  </from>
                  <to>
                    <xdr:col>8</xdr:col>
                    <xdr:colOff>19050</xdr:colOff>
                    <xdr:row>354</xdr:row>
                    <xdr:rowOff>209550</xdr:rowOff>
                  </to>
                </anchor>
              </controlPr>
            </control>
          </mc:Choice>
        </mc:AlternateContent>
        <mc:AlternateContent xmlns:mc="http://schemas.openxmlformats.org/markup-compatibility/2006">
          <mc:Choice Requires="x14">
            <control shapeId="1566" r:id="rId178" name="Check Box 542">
              <controlPr defaultSize="0" autoFill="0" autoLine="0" autoPict="0">
                <anchor moveWithCells="1">
                  <from>
                    <xdr:col>12</xdr:col>
                    <xdr:colOff>0</xdr:colOff>
                    <xdr:row>353</xdr:row>
                    <xdr:rowOff>28575</xdr:rowOff>
                  </from>
                  <to>
                    <xdr:col>12</xdr:col>
                    <xdr:colOff>0</xdr:colOff>
                    <xdr:row>353</xdr:row>
                    <xdr:rowOff>28575</xdr:rowOff>
                  </to>
                </anchor>
              </controlPr>
            </control>
          </mc:Choice>
        </mc:AlternateContent>
        <mc:AlternateContent xmlns:mc="http://schemas.openxmlformats.org/markup-compatibility/2006">
          <mc:Choice Requires="x14">
            <control shapeId="1567" r:id="rId179" name="Check Box 543">
              <controlPr defaultSize="0" autoFill="0" autoLine="0" autoPict="0">
                <anchor moveWithCells="1">
                  <from>
                    <xdr:col>8</xdr:col>
                    <xdr:colOff>9525</xdr:colOff>
                    <xdr:row>352</xdr:row>
                    <xdr:rowOff>19050</xdr:rowOff>
                  </from>
                  <to>
                    <xdr:col>8</xdr:col>
                    <xdr:colOff>19050</xdr:colOff>
                    <xdr:row>352</xdr:row>
                    <xdr:rowOff>209550</xdr:rowOff>
                  </to>
                </anchor>
              </controlPr>
            </control>
          </mc:Choice>
        </mc:AlternateContent>
        <mc:AlternateContent xmlns:mc="http://schemas.openxmlformats.org/markup-compatibility/2006">
          <mc:Choice Requires="x14">
            <control shapeId="1568" r:id="rId180" name="Check Box 544">
              <controlPr defaultSize="0" autoFill="0" autoLine="0" autoPict="0">
                <anchor moveWithCells="1">
                  <from>
                    <xdr:col>12</xdr:col>
                    <xdr:colOff>0</xdr:colOff>
                    <xdr:row>324</xdr:row>
                    <xdr:rowOff>28575</xdr:rowOff>
                  </from>
                  <to>
                    <xdr:col>12</xdr:col>
                    <xdr:colOff>0</xdr:colOff>
                    <xdr:row>324</xdr:row>
                    <xdr:rowOff>28575</xdr:rowOff>
                  </to>
                </anchor>
              </controlPr>
            </control>
          </mc:Choice>
        </mc:AlternateContent>
        <mc:AlternateContent xmlns:mc="http://schemas.openxmlformats.org/markup-compatibility/2006">
          <mc:Choice Requires="x14">
            <control shapeId="1569" r:id="rId181" name="Check Box 545">
              <controlPr defaultSize="0" autoFill="0" autoLine="0" autoPict="0">
                <anchor moveWithCells="1">
                  <from>
                    <xdr:col>8</xdr:col>
                    <xdr:colOff>9525</xdr:colOff>
                    <xdr:row>323</xdr:row>
                    <xdr:rowOff>19050</xdr:rowOff>
                  </from>
                  <to>
                    <xdr:col>8</xdr:col>
                    <xdr:colOff>19050</xdr:colOff>
                    <xdr:row>323</xdr:row>
                    <xdr:rowOff>209550</xdr:rowOff>
                  </to>
                </anchor>
              </controlPr>
            </control>
          </mc:Choice>
        </mc:AlternateContent>
        <mc:AlternateContent xmlns:mc="http://schemas.openxmlformats.org/markup-compatibility/2006">
          <mc:Choice Requires="x14">
            <control shapeId="1570" r:id="rId182" name="Check Box 546">
              <controlPr defaultSize="0" autoFill="0" autoLine="0" autoPict="0">
                <anchor moveWithCells="1">
                  <from>
                    <xdr:col>12</xdr:col>
                    <xdr:colOff>0</xdr:colOff>
                    <xdr:row>296</xdr:row>
                    <xdr:rowOff>28575</xdr:rowOff>
                  </from>
                  <to>
                    <xdr:col>12</xdr:col>
                    <xdr:colOff>0</xdr:colOff>
                    <xdr:row>296</xdr:row>
                    <xdr:rowOff>28575</xdr:rowOff>
                  </to>
                </anchor>
              </controlPr>
            </control>
          </mc:Choice>
        </mc:AlternateContent>
        <mc:AlternateContent xmlns:mc="http://schemas.openxmlformats.org/markup-compatibility/2006">
          <mc:Choice Requires="x14">
            <control shapeId="1571" r:id="rId183" name="Check Box 547">
              <controlPr defaultSize="0" autoFill="0" autoLine="0" autoPict="0">
                <anchor moveWithCells="1">
                  <from>
                    <xdr:col>8</xdr:col>
                    <xdr:colOff>9525</xdr:colOff>
                    <xdr:row>295</xdr:row>
                    <xdr:rowOff>19050</xdr:rowOff>
                  </from>
                  <to>
                    <xdr:col>8</xdr:col>
                    <xdr:colOff>19050</xdr:colOff>
                    <xdr:row>295</xdr:row>
                    <xdr:rowOff>209550</xdr:rowOff>
                  </to>
                </anchor>
              </controlPr>
            </control>
          </mc:Choice>
        </mc:AlternateContent>
        <mc:AlternateContent xmlns:mc="http://schemas.openxmlformats.org/markup-compatibility/2006">
          <mc:Choice Requires="x14">
            <control shapeId="1572" r:id="rId184" name="Check Box 548">
              <controlPr defaultSize="0" autoFill="0" autoLine="0" autoPict="0">
                <anchor moveWithCells="1">
                  <from>
                    <xdr:col>12</xdr:col>
                    <xdr:colOff>0</xdr:colOff>
                    <xdr:row>325</xdr:row>
                    <xdr:rowOff>28575</xdr:rowOff>
                  </from>
                  <to>
                    <xdr:col>12</xdr:col>
                    <xdr:colOff>0</xdr:colOff>
                    <xdr:row>325</xdr:row>
                    <xdr:rowOff>28575</xdr:rowOff>
                  </to>
                </anchor>
              </controlPr>
            </control>
          </mc:Choice>
        </mc:AlternateContent>
        <mc:AlternateContent xmlns:mc="http://schemas.openxmlformats.org/markup-compatibility/2006">
          <mc:Choice Requires="x14">
            <control shapeId="1573" r:id="rId185" name="Check Box 549">
              <controlPr defaultSize="0" autoFill="0" autoLine="0" autoPict="0">
                <anchor moveWithCells="1">
                  <from>
                    <xdr:col>8</xdr:col>
                    <xdr:colOff>9525</xdr:colOff>
                    <xdr:row>324</xdr:row>
                    <xdr:rowOff>19050</xdr:rowOff>
                  </from>
                  <to>
                    <xdr:col>8</xdr:col>
                    <xdr:colOff>19050</xdr:colOff>
                    <xdr:row>324</xdr:row>
                    <xdr:rowOff>209550</xdr:rowOff>
                  </to>
                </anchor>
              </controlPr>
            </control>
          </mc:Choice>
        </mc:AlternateContent>
        <mc:AlternateContent xmlns:mc="http://schemas.openxmlformats.org/markup-compatibility/2006">
          <mc:Choice Requires="x14">
            <control shapeId="1574" r:id="rId186" name="Check Box 550">
              <controlPr defaultSize="0" autoFill="0" autoLine="0" autoPict="0">
                <anchor moveWithCells="1">
                  <from>
                    <xdr:col>12</xdr:col>
                    <xdr:colOff>0</xdr:colOff>
                    <xdr:row>325</xdr:row>
                    <xdr:rowOff>28575</xdr:rowOff>
                  </from>
                  <to>
                    <xdr:col>12</xdr:col>
                    <xdr:colOff>0</xdr:colOff>
                    <xdr:row>325</xdr:row>
                    <xdr:rowOff>28575</xdr:rowOff>
                  </to>
                </anchor>
              </controlPr>
            </control>
          </mc:Choice>
        </mc:AlternateContent>
        <mc:AlternateContent xmlns:mc="http://schemas.openxmlformats.org/markup-compatibility/2006">
          <mc:Choice Requires="x14">
            <control shapeId="1575" r:id="rId187" name="Check Box 551">
              <controlPr defaultSize="0" autoFill="0" autoLine="0" autoPict="0">
                <anchor moveWithCells="1">
                  <from>
                    <xdr:col>8</xdr:col>
                    <xdr:colOff>9525</xdr:colOff>
                    <xdr:row>324</xdr:row>
                    <xdr:rowOff>19050</xdr:rowOff>
                  </from>
                  <to>
                    <xdr:col>8</xdr:col>
                    <xdr:colOff>19050</xdr:colOff>
                    <xdr:row>324</xdr:row>
                    <xdr:rowOff>209550</xdr:rowOff>
                  </to>
                </anchor>
              </controlPr>
            </control>
          </mc:Choice>
        </mc:AlternateContent>
        <mc:AlternateContent xmlns:mc="http://schemas.openxmlformats.org/markup-compatibility/2006">
          <mc:Choice Requires="x14">
            <control shapeId="1576" r:id="rId188" name="Check Box 552">
              <controlPr defaultSize="0" autoFill="0" autoLine="0" autoPict="0">
                <anchor moveWithCells="1">
                  <from>
                    <xdr:col>12</xdr:col>
                    <xdr:colOff>0</xdr:colOff>
                    <xdr:row>355</xdr:row>
                    <xdr:rowOff>28575</xdr:rowOff>
                  </from>
                  <to>
                    <xdr:col>12</xdr:col>
                    <xdr:colOff>0</xdr:colOff>
                    <xdr:row>355</xdr:row>
                    <xdr:rowOff>28575</xdr:rowOff>
                  </to>
                </anchor>
              </controlPr>
            </control>
          </mc:Choice>
        </mc:AlternateContent>
        <mc:AlternateContent xmlns:mc="http://schemas.openxmlformats.org/markup-compatibility/2006">
          <mc:Choice Requires="x14">
            <control shapeId="1577" r:id="rId189" name="Check Box 553">
              <controlPr defaultSize="0" autoFill="0" autoLine="0" autoPict="0">
                <anchor moveWithCells="1">
                  <from>
                    <xdr:col>8</xdr:col>
                    <xdr:colOff>9525</xdr:colOff>
                    <xdr:row>354</xdr:row>
                    <xdr:rowOff>19050</xdr:rowOff>
                  </from>
                  <to>
                    <xdr:col>8</xdr:col>
                    <xdr:colOff>19050</xdr:colOff>
                    <xdr:row>354</xdr:row>
                    <xdr:rowOff>209550</xdr:rowOff>
                  </to>
                </anchor>
              </controlPr>
            </control>
          </mc:Choice>
        </mc:AlternateContent>
        <mc:AlternateContent xmlns:mc="http://schemas.openxmlformats.org/markup-compatibility/2006">
          <mc:Choice Requires="x14">
            <control shapeId="1578" r:id="rId190" name="Check Box 554">
              <controlPr defaultSize="0" autoFill="0" autoLine="0" autoPict="0">
                <anchor moveWithCells="1">
                  <from>
                    <xdr:col>12</xdr:col>
                    <xdr:colOff>0</xdr:colOff>
                    <xdr:row>353</xdr:row>
                    <xdr:rowOff>28575</xdr:rowOff>
                  </from>
                  <to>
                    <xdr:col>12</xdr:col>
                    <xdr:colOff>0</xdr:colOff>
                    <xdr:row>353</xdr:row>
                    <xdr:rowOff>28575</xdr:rowOff>
                  </to>
                </anchor>
              </controlPr>
            </control>
          </mc:Choice>
        </mc:AlternateContent>
        <mc:AlternateContent xmlns:mc="http://schemas.openxmlformats.org/markup-compatibility/2006">
          <mc:Choice Requires="x14">
            <control shapeId="1579" r:id="rId191" name="Check Box 555">
              <controlPr defaultSize="0" autoFill="0" autoLine="0" autoPict="0">
                <anchor moveWithCells="1">
                  <from>
                    <xdr:col>8</xdr:col>
                    <xdr:colOff>9525</xdr:colOff>
                    <xdr:row>352</xdr:row>
                    <xdr:rowOff>19050</xdr:rowOff>
                  </from>
                  <to>
                    <xdr:col>8</xdr:col>
                    <xdr:colOff>19050</xdr:colOff>
                    <xdr:row>352</xdr:row>
                    <xdr:rowOff>209550</xdr:rowOff>
                  </to>
                </anchor>
              </controlPr>
            </control>
          </mc:Choice>
        </mc:AlternateContent>
        <mc:AlternateContent xmlns:mc="http://schemas.openxmlformats.org/markup-compatibility/2006">
          <mc:Choice Requires="x14">
            <control shapeId="1580" r:id="rId192" name="Check Box 556">
              <controlPr defaultSize="0" autoFill="0" autoLine="0" autoPict="0">
                <anchor moveWithCells="1">
                  <from>
                    <xdr:col>12</xdr:col>
                    <xdr:colOff>0</xdr:colOff>
                    <xdr:row>353</xdr:row>
                    <xdr:rowOff>28575</xdr:rowOff>
                  </from>
                  <to>
                    <xdr:col>12</xdr:col>
                    <xdr:colOff>0</xdr:colOff>
                    <xdr:row>353</xdr:row>
                    <xdr:rowOff>28575</xdr:rowOff>
                  </to>
                </anchor>
              </controlPr>
            </control>
          </mc:Choice>
        </mc:AlternateContent>
        <mc:AlternateContent xmlns:mc="http://schemas.openxmlformats.org/markup-compatibility/2006">
          <mc:Choice Requires="x14">
            <control shapeId="1581" r:id="rId193" name="Check Box 557">
              <controlPr defaultSize="0" autoFill="0" autoLine="0" autoPict="0">
                <anchor moveWithCells="1">
                  <from>
                    <xdr:col>8</xdr:col>
                    <xdr:colOff>9525</xdr:colOff>
                    <xdr:row>352</xdr:row>
                    <xdr:rowOff>19050</xdr:rowOff>
                  </from>
                  <to>
                    <xdr:col>8</xdr:col>
                    <xdr:colOff>19050</xdr:colOff>
                    <xdr:row>352</xdr:row>
                    <xdr:rowOff>209550</xdr:rowOff>
                  </to>
                </anchor>
              </controlPr>
            </control>
          </mc:Choice>
        </mc:AlternateContent>
        <mc:AlternateContent xmlns:mc="http://schemas.openxmlformats.org/markup-compatibility/2006">
          <mc:Choice Requires="x14">
            <control shapeId="1582" r:id="rId194" name="Check Box 558">
              <controlPr defaultSize="0" autoFill="0" autoLine="0" autoPict="0">
                <anchor moveWithCells="1">
                  <from>
                    <xdr:col>12</xdr:col>
                    <xdr:colOff>0</xdr:colOff>
                    <xdr:row>354</xdr:row>
                    <xdr:rowOff>28575</xdr:rowOff>
                  </from>
                  <to>
                    <xdr:col>12</xdr:col>
                    <xdr:colOff>0</xdr:colOff>
                    <xdr:row>354</xdr:row>
                    <xdr:rowOff>28575</xdr:rowOff>
                  </to>
                </anchor>
              </controlPr>
            </control>
          </mc:Choice>
        </mc:AlternateContent>
        <mc:AlternateContent xmlns:mc="http://schemas.openxmlformats.org/markup-compatibility/2006">
          <mc:Choice Requires="x14">
            <control shapeId="1583" r:id="rId195" name="Check Box 559">
              <controlPr defaultSize="0" autoFill="0" autoLine="0" autoPict="0">
                <anchor moveWithCells="1">
                  <from>
                    <xdr:col>8</xdr:col>
                    <xdr:colOff>9525</xdr:colOff>
                    <xdr:row>353</xdr:row>
                    <xdr:rowOff>19050</xdr:rowOff>
                  </from>
                  <to>
                    <xdr:col>8</xdr:col>
                    <xdr:colOff>19050</xdr:colOff>
                    <xdr:row>353</xdr:row>
                    <xdr:rowOff>209550</xdr:rowOff>
                  </to>
                </anchor>
              </controlPr>
            </control>
          </mc:Choice>
        </mc:AlternateContent>
        <mc:AlternateContent xmlns:mc="http://schemas.openxmlformats.org/markup-compatibility/2006">
          <mc:Choice Requires="x14">
            <control shapeId="1584" r:id="rId196" name="Check Box 560">
              <controlPr defaultSize="0" autoFill="0" autoLine="0" autoPict="0">
                <anchor moveWithCells="1">
                  <from>
                    <xdr:col>12</xdr:col>
                    <xdr:colOff>0</xdr:colOff>
                    <xdr:row>354</xdr:row>
                    <xdr:rowOff>28575</xdr:rowOff>
                  </from>
                  <to>
                    <xdr:col>12</xdr:col>
                    <xdr:colOff>0</xdr:colOff>
                    <xdr:row>354</xdr:row>
                    <xdr:rowOff>28575</xdr:rowOff>
                  </to>
                </anchor>
              </controlPr>
            </control>
          </mc:Choice>
        </mc:AlternateContent>
        <mc:AlternateContent xmlns:mc="http://schemas.openxmlformats.org/markup-compatibility/2006">
          <mc:Choice Requires="x14">
            <control shapeId="1585" r:id="rId197" name="Check Box 561">
              <controlPr defaultSize="0" autoFill="0" autoLine="0" autoPict="0">
                <anchor moveWithCells="1">
                  <from>
                    <xdr:col>8</xdr:col>
                    <xdr:colOff>9525</xdr:colOff>
                    <xdr:row>353</xdr:row>
                    <xdr:rowOff>19050</xdr:rowOff>
                  </from>
                  <to>
                    <xdr:col>8</xdr:col>
                    <xdr:colOff>19050</xdr:colOff>
                    <xdr:row>353</xdr:row>
                    <xdr:rowOff>209550</xdr:rowOff>
                  </to>
                </anchor>
              </controlPr>
            </control>
          </mc:Choice>
        </mc:AlternateContent>
        <mc:AlternateContent xmlns:mc="http://schemas.openxmlformats.org/markup-compatibility/2006">
          <mc:Choice Requires="x14">
            <control shapeId="1586" r:id="rId198" name="Check Box 562">
              <controlPr defaultSize="0" autoFill="0" autoLine="0" autoPict="0">
                <anchor moveWithCells="1">
                  <from>
                    <xdr:col>12</xdr:col>
                    <xdr:colOff>0</xdr:colOff>
                    <xdr:row>358</xdr:row>
                    <xdr:rowOff>28575</xdr:rowOff>
                  </from>
                  <to>
                    <xdr:col>12</xdr:col>
                    <xdr:colOff>0</xdr:colOff>
                    <xdr:row>358</xdr:row>
                    <xdr:rowOff>28575</xdr:rowOff>
                  </to>
                </anchor>
              </controlPr>
            </control>
          </mc:Choice>
        </mc:AlternateContent>
        <mc:AlternateContent xmlns:mc="http://schemas.openxmlformats.org/markup-compatibility/2006">
          <mc:Choice Requires="x14">
            <control shapeId="1587" r:id="rId199" name="Check Box 563">
              <controlPr defaultSize="0" autoFill="0" autoLine="0" autoPict="0">
                <anchor moveWithCells="1">
                  <from>
                    <xdr:col>12</xdr:col>
                    <xdr:colOff>0</xdr:colOff>
                    <xdr:row>359</xdr:row>
                    <xdr:rowOff>28575</xdr:rowOff>
                  </from>
                  <to>
                    <xdr:col>12</xdr:col>
                    <xdr:colOff>0</xdr:colOff>
                    <xdr:row>359</xdr:row>
                    <xdr:rowOff>28575</xdr:rowOff>
                  </to>
                </anchor>
              </controlPr>
            </control>
          </mc:Choice>
        </mc:AlternateContent>
        <mc:AlternateContent xmlns:mc="http://schemas.openxmlformats.org/markup-compatibility/2006">
          <mc:Choice Requires="x14">
            <control shapeId="1588" r:id="rId200" name="Check Box 564">
              <controlPr defaultSize="0" autoFill="0" autoLine="0" autoPict="0">
                <anchor moveWithCells="1">
                  <from>
                    <xdr:col>12</xdr:col>
                    <xdr:colOff>0</xdr:colOff>
                    <xdr:row>360</xdr:row>
                    <xdr:rowOff>28575</xdr:rowOff>
                  </from>
                  <to>
                    <xdr:col>12</xdr:col>
                    <xdr:colOff>0</xdr:colOff>
                    <xdr:row>360</xdr:row>
                    <xdr:rowOff>28575</xdr:rowOff>
                  </to>
                </anchor>
              </controlPr>
            </control>
          </mc:Choice>
        </mc:AlternateContent>
        <mc:AlternateContent xmlns:mc="http://schemas.openxmlformats.org/markup-compatibility/2006">
          <mc:Choice Requires="x14">
            <control shapeId="1589" r:id="rId201" name="Check Box 565">
              <controlPr defaultSize="0" autoFill="0" autoLine="0" autoPict="0">
                <anchor moveWithCells="1">
                  <from>
                    <xdr:col>12</xdr:col>
                    <xdr:colOff>0</xdr:colOff>
                    <xdr:row>361</xdr:row>
                    <xdr:rowOff>28575</xdr:rowOff>
                  </from>
                  <to>
                    <xdr:col>12</xdr:col>
                    <xdr:colOff>0</xdr:colOff>
                    <xdr:row>361</xdr:row>
                    <xdr:rowOff>28575</xdr:rowOff>
                  </to>
                </anchor>
              </controlPr>
            </control>
          </mc:Choice>
        </mc:AlternateContent>
        <mc:AlternateContent xmlns:mc="http://schemas.openxmlformats.org/markup-compatibility/2006">
          <mc:Choice Requires="x14">
            <control shapeId="1590" r:id="rId202" name="Check Box 566">
              <controlPr defaultSize="0" autoFill="0" autoLine="0" autoPict="0">
                <anchor moveWithCells="1">
                  <from>
                    <xdr:col>12</xdr:col>
                    <xdr:colOff>0</xdr:colOff>
                    <xdr:row>362</xdr:row>
                    <xdr:rowOff>28575</xdr:rowOff>
                  </from>
                  <to>
                    <xdr:col>12</xdr:col>
                    <xdr:colOff>0</xdr:colOff>
                    <xdr:row>362</xdr:row>
                    <xdr:rowOff>28575</xdr:rowOff>
                  </to>
                </anchor>
              </controlPr>
            </control>
          </mc:Choice>
        </mc:AlternateContent>
        <mc:AlternateContent xmlns:mc="http://schemas.openxmlformats.org/markup-compatibility/2006">
          <mc:Choice Requires="x14">
            <control shapeId="1591" r:id="rId203" name="Check Box 567">
              <controlPr defaultSize="0" autoFill="0" autoLine="0" autoPict="0">
                <anchor moveWithCells="1">
                  <from>
                    <xdr:col>12</xdr:col>
                    <xdr:colOff>0</xdr:colOff>
                    <xdr:row>363</xdr:row>
                    <xdr:rowOff>28575</xdr:rowOff>
                  </from>
                  <to>
                    <xdr:col>12</xdr:col>
                    <xdr:colOff>0</xdr:colOff>
                    <xdr:row>363</xdr:row>
                    <xdr:rowOff>28575</xdr:rowOff>
                  </to>
                </anchor>
              </controlPr>
            </control>
          </mc:Choice>
        </mc:AlternateContent>
        <mc:AlternateContent xmlns:mc="http://schemas.openxmlformats.org/markup-compatibility/2006">
          <mc:Choice Requires="x14">
            <control shapeId="1592" r:id="rId204" name="Check Box 568">
              <controlPr defaultSize="0" autoFill="0" autoLine="0" autoPict="0">
                <anchor moveWithCells="1">
                  <from>
                    <xdr:col>12</xdr:col>
                    <xdr:colOff>0</xdr:colOff>
                    <xdr:row>364</xdr:row>
                    <xdr:rowOff>28575</xdr:rowOff>
                  </from>
                  <to>
                    <xdr:col>12</xdr:col>
                    <xdr:colOff>0</xdr:colOff>
                    <xdr:row>364</xdr:row>
                    <xdr:rowOff>28575</xdr:rowOff>
                  </to>
                </anchor>
              </controlPr>
            </control>
          </mc:Choice>
        </mc:AlternateContent>
        <mc:AlternateContent xmlns:mc="http://schemas.openxmlformats.org/markup-compatibility/2006">
          <mc:Choice Requires="x14">
            <control shapeId="1593" r:id="rId205" name="Check Box 569">
              <controlPr defaultSize="0" autoFill="0" autoLine="0" autoPict="0">
                <anchor moveWithCells="1">
                  <from>
                    <xdr:col>12</xdr:col>
                    <xdr:colOff>0</xdr:colOff>
                    <xdr:row>365</xdr:row>
                    <xdr:rowOff>28575</xdr:rowOff>
                  </from>
                  <to>
                    <xdr:col>12</xdr:col>
                    <xdr:colOff>0</xdr:colOff>
                    <xdr:row>365</xdr:row>
                    <xdr:rowOff>28575</xdr:rowOff>
                  </to>
                </anchor>
              </controlPr>
            </control>
          </mc:Choice>
        </mc:AlternateContent>
        <mc:AlternateContent xmlns:mc="http://schemas.openxmlformats.org/markup-compatibility/2006">
          <mc:Choice Requires="x14">
            <control shapeId="1594" r:id="rId206" name="Check Box 570">
              <controlPr defaultSize="0" autoFill="0" autoLine="0" autoPict="0">
                <anchor moveWithCells="1">
                  <from>
                    <xdr:col>12</xdr:col>
                    <xdr:colOff>0</xdr:colOff>
                    <xdr:row>366</xdr:row>
                    <xdr:rowOff>28575</xdr:rowOff>
                  </from>
                  <to>
                    <xdr:col>12</xdr:col>
                    <xdr:colOff>0</xdr:colOff>
                    <xdr:row>366</xdr:row>
                    <xdr:rowOff>28575</xdr:rowOff>
                  </to>
                </anchor>
              </controlPr>
            </control>
          </mc:Choice>
        </mc:AlternateContent>
        <mc:AlternateContent xmlns:mc="http://schemas.openxmlformats.org/markup-compatibility/2006">
          <mc:Choice Requires="x14">
            <control shapeId="1595" r:id="rId207" name="Check Box 571">
              <controlPr defaultSize="0" autoFill="0" autoLine="0" autoPict="0">
                <anchor moveWithCells="1">
                  <from>
                    <xdr:col>12</xdr:col>
                    <xdr:colOff>0</xdr:colOff>
                    <xdr:row>367</xdr:row>
                    <xdr:rowOff>28575</xdr:rowOff>
                  </from>
                  <to>
                    <xdr:col>12</xdr:col>
                    <xdr:colOff>0</xdr:colOff>
                    <xdr:row>367</xdr:row>
                    <xdr:rowOff>28575</xdr:rowOff>
                  </to>
                </anchor>
              </controlPr>
            </control>
          </mc:Choice>
        </mc:AlternateContent>
        <mc:AlternateContent xmlns:mc="http://schemas.openxmlformats.org/markup-compatibility/2006">
          <mc:Choice Requires="x14">
            <control shapeId="1596" r:id="rId208" name="Check Box 572">
              <controlPr defaultSize="0" autoFill="0" autoLine="0" autoPict="0">
                <anchor moveWithCells="1">
                  <from>
                    <xdr:col>12</xdr:col>
                    <xdr:colOff>0</xdr:colOff>
                    <xdr:row>368</xdr:row>
                    <xdr:rowOff>28575</xdr:rowOff>
                  </from>
                  <to>
                    <xdr:col>12</xdr:col>
                    <xdr:colOff>0</xdr:colOff>
                    <xdr:row>368</xdr:row>
                    <xdr:rowOff>28575</xdr:rowOff>
                  </to>
                </anchor>
              </controlPr>
            </control>
          </mc:Choice>
        </mc:AlternateContent>
        <mc:AlternateContent xmlns:mc="http://schemas.openxmlformats.org/markup-compatibility/2006">
          <mc:Choice Requires="x14">
            <control shapeId="1597" r:id="rId209" name="Check Box 573">
              <controlPr defaultSize="0" autoFill="0" autoLine="0" autoPict="0">
                <anchor moveWithCells="1">
                  <from>
                    <xdr:col>12</xdr:col>
                    <xdr:colOff>0</xdr:colOff>
                    <xdr:row>369</xdr:row>
                    <xdr:rowOff>28575</xdr:rowOff>
                  </from>
                  <to>
                    <xdr:col>12</xdr:col>
                    <xdr:colOff>0</xdr:colOff>
                    <xdr:row>369</xdr:row>
                    <xdr:rowOff>28575</xdr:rowOff>
                  </to>
                </anchor>
              </controlPr>
            </control>
          </mc:Choice>
        </mc:AlternateContent>
        <mc:AlternateContent xmlns:mc="http://schemas.openxmlformats.org/markup-compatibility/2006">
          <mc:Choice Requires="x14">
            <control shapeId="1598" r:id="rId210" name="Check Box 574">
              <controlPr defaultSize="0" autoFill="0" autoLine="0" autoPict="0">
                <anchor moveWithCells="1">
                  <from>
                    <xdr:col>12</xdr:col>
                    <xdr:colOff>0</xdr:colOff>
                    <xdr:row>370</xdr:row>
                    <xdr:rowOff>28575</xdr:rowOff>
                  </from>
                  <to>
                    <xdr:col>12</xdr:col>
                    <xdr:colOff>0</xdr:colOff>
                    <xdr:row>370</xdr:row>
                    <xdr:rowOff>28575</xdr:rowOff>
                  </to>
                </anchor>
              </controlPr>
            </control>
          </mc:Choice>
        </mc:AlternateContent>
        <mc:AlternateContent xmlns:mc="http://schemas.openxmlformats.org/markup-compatibility/2006">
          <mc:Choice Requires="x14">
            <control shapeId="1599" r:id="rId211" name="Check Box 575">
              <controlPr defaultSize="0" autoFill="0" autoLine="0" autoPict="0">
                <anchor moveWithCells="1">
                  <from>
                    <xdr:col>12</xdr:col>
                    <xdr:colOff>0</xdr:colOff>
                    <xdr:row>371</xdr:row>
                    <xdr:rowOff>28575</xdr:rowOff>
                  </from>
                  <to>
                    <xdr:col>12</xdr:col>
                    <xdr:colOff>0</xdr:colOff>
                    <xdr:row>371</xdr:row>
                    <xdr:rowOff>28575</xdr:rowOff>
                  </to>
                </anchor>
              </controlPr>
            </control>
          </mc:Choice>
        </mc:AlternateContent>
        <mc:AlternateContent xmlns:mc="http://schemas.openxmlformats.org/markup-compatibility/2006">
          <mc:Choice Requires="x14">
            <control shapeId="1600" r:id="rId212" name="Check Box 576">
              <controlPr defaultSize="0" autoFill="0" autoLine="0" autoPict="0">
                <anchor moveWithCells="1">
                  <from>
                    <xdr:col>12</xdr:col>
                    <xdr:colOff>0</xdr:colOff>
                    <xdr:row>372</xdr:row>
                    <xdr:rowOff>28575</xdr:rowOff>
                  </from>
                  <to>
                    <xdr:col>12</xdr:col>
                    <xdr:colOff>0</xdr:colOff>
                    <xdr:row>372</xdr:row>
                    <xdr:rowOff>28575</xdr:rowOff>
                  </to>
                </anchor>
              </controlPr>
            </control>
          </mc:Choice>
        </mc:AlternateContent>
        <mc:AlternateContent xmlns:mc="http://schemas.openxmlformats.org/markup-compatibility/2006">
          <mc:Choice Requires="x14">
            <control shapeId="1601" r:id="rId213" name="Check Box 577">
              <controlPr defaultSize="0" autoFill="0" autoLine="0" autoPict="0">
                <anchor moveWithCells="1">
                  <from>
                    <xdr:col>12</xdr:col>
                    <xdr:colOff>0</xdr:colOff>
                    <xdr:row>373</xdr:row>
                    <xdr:rowOff>28575</xdr:rowOff>
                  </from>
                  <to>
                    <xdr:col>12</xdr:col>
                    <xdr:colOff>0</xdr:colOff>
                    <xdr:row>373</xdr:row>
                    <xdr:rowOff>28575</xdr:rowOff>
                  </to>
                </anchor>
              </controlPr>
            </control>
          </mc:Choice>
        </mc:AlternateContent>
        <mc:AlternateContent xmlns:mc="http://schemas.openxmlformats.org/markup-compatibility/2006">
          <mc:Choice Requires="x14">
            <control shapeId="1602" r:id="rId214" name="Check Box 578">
              <controlPr defaultSize="0" autoFill="0" autoLine="0" autoPict="0">
                <anchor moveWithCells="1">
                  <from>
                    <xdr:col>12</xdr:col>
                    <xdr:colOff>0</xdr:colOff>
                    <xdr:row>374</xdr:row>
                    <xdr:rowOff>28575</xdr:rowOff>
                  </from>
                  <to>
                    <xdr:col>12</xdr:col>
                    <xdr:colOff>0</xdr:colOff>
                    <xdr:row>374</xdr:row>
                    <xdr:rowOff>28575</xdr:rowOff>
                  </to>
                </anchor>
              </controlPr>
            </control>
          </mc:Choice>
        </mc:AlternateContent>
        <mc:AlternateContent xmlns:mc="http://schemas.openxmlformats.org/markup-compatibility/2006">
          <mc:Choice Requires="x14">
            <control shapeId="1603" r:id="rId215" name="Check Box 579">
              <controlPr defaultSize="0" autoFill="0" autoLine="0" autoPict="0">
                <anchor moveWithCells="1">
                  <from>
                    <xdr:col>12</xdr:col>
                    <xdr:colOff>0</xdr:colOff>
                    <xdr:row>375</xdr:row>
                    <xdr:rowOff>28575</xdr:rowOff>
                  </from>
                  <to>
                    <xdr:col>12</xdr:col>
                    <xdr:colOff>0</xdr:colOff>
                    <xdr:row>375</xdr:row>
                    <xdr:rowOff>28575</xdr:rowOff>
                  </to>
                </anchor>
              </controlPr>
            </control>
          </mc:Choice>
        </mc:AlternateContent>
        <mc:AlternateContent xmlns:mc="http://schemas.openxmlformats.org/markup-compatibility/2006">
          <mc:Choice Requires="x14">
            <control shapeId="1604" r:id="rId216" name="Check Box 580">
              <controlPr defaultSize="0" autoFill="0" autoLine="0" autoPict="0">
                <anchor moveWithCells="1">
                  <from>
                    <xdr:col>12</xdr:col>
                    <xdr:colOff>0</xdr:colOff>
                    <xdr:row>376</xdr:row>
                    <xdr:rowOff>28575</xdr:rowOff>
                  </from>
                  <to>
                    <xdr:col>12</xdr:col>
                    <xdr:colOff>0</xdr:colOff>
                    <xdr:row>376</xdr:row>
                    <xdr:rowOff>28575</xdr:rowOff>
                  </to>
                </anchor>
              </controlPr>
            </control>
          </mc:Choice>
        </mc:AlternateContent>
        <mc:AlternateContent xmlns:mc="http://schemas.openxmlformats.org/markup-compatibility/2006">
          <mc:Choice Requires="x14">
            <control shapeId="1605" r:id="rId217" name="Check Box 581">
              <controlPr defaultSize="0" autoFill="0" autoLine="0" autoPict="0">
                <anchor moveWithCells="1">
                  <from>
                    <xdr:col>8</xdr:col>
                    <xdr:colOff>9525</xdr:colOff>
                    <xdr:row>126</xdr:row>
                    <xdr:rowOff>19050</xdr:rowOff>
                  </from>
                  <to>
                    <xdr:col>8</xdr:col>
                    <xdr:colOff>19050</xdr:colOff>
                    <xdr:row>127</xdr:row>
                    <xdr:rowOff>19050</xdr:rowOff>
                  </to>
                </anchor>
              </controlPr>
            </control>
          </mc:Choice>
        </mc:AlternateContent>
        <mc:AlternateContent xmlns:mc="http://schemas.openxmlformats.org/markup-compatibility/2006">
          <mc:Choice Requires="x14">
            <control shapeId="1606" r:id="rId218" name="Check Box 582">
              <controlPr defaultSize="0" autoFill="0" autoLine="0" autoPict="0">
                <anchor moveWithCells="1">
                  <from>
                    <xdr:col>8</xdr:col>
                    <xdr:colOff>9525</xdr:colOff>
                    <xdr:row>127</xdr:row>
                    <xdr:rowOff>19050</xdr:rowOff>
                  </from>
                  <to>
                    <xdr:col>8</xdr:col>
                    <xdr:colOff>19050</xdr:colOff>
                    <xdr:row>128</xdr:row>
                    <xdr:rowOff>19050</xdr:rowOff>
                  </to>
                </anchor>
              </controlPr>
            </control>
          </mc:Choice>
        </mc:AlternateContent>
        <mc:AlternateContent xmlns:mc="http://schemas.openxmlformats.org/markup-compatibility/2006">
          <mc:Choice Requires="x14">
            <control shapeId="1607" r:id="rId219" name="Check Box 583">
              <controlPr defaultSize="0" autoFill="0" autoLine="0" autoPict="0">
                <anchor moveWithCells="1">
                  <from>
                    <xdr:col>8</xdr:col>
                    <xdr:colOff>9525</xdr:colOff>
                    <xdr:row>128</xdr:row>
                    <xdr:rowOff>19050</xdr:rowOff>
                  </from>
                  <to>
                    <xdr:col>8</xdr:col>
                    <xdr:colOff>19050</xdr:colOff>
                    <xdr:row>129</xdr:row>
                    <xdr:rowOff>19050</xdr:rowOff>
                  </to>
                </anchor>
              </controlPr>
            </control>
          </mc:Choice>
        </mc:AlternateContent>
        <mc:AlternateContent xmlns:mc="http://schemas.openxmlformats.org/markup-compatibility/2006">
          <mc:Choice Requires="x14">
            <control shapeId="1608" r:id="rId220" name="Check Box 584">
              <controlPr defaultSize="0" autoFill="0" autoLine="0" autoPict="0">
                <anchor moveWithCells="1">
                  <from>
                    <xdr:col>8</xdr:col>
                    <xdr:colOff>9525</xdr:colOff>
                    <xdr:row>129</xdr:row>
                    <xdr:rowOff>19050</xdr:rowOff>
                  </from>
                  <to>
                    <xdr:col>8</xdr:col>
                    <xdr:colOff>19050</xdr:colOff>
                    <xdr:row>130</xdr:row>
                    <xdr:rowOff>19050</xdr:rowOff>
                  </to>
                </anchor>
              </controlPr>
            </control>
          </mc:Choice>
        </mc:AlternateContent>
        <mc:AlternateContent xmlns:mc="http://schemas.openxmlformats.org/markup-compatibility/2006">
          <mc:Choice Requires="x14">
            <control shapeId="1609" r:id="rId221" name="Check Box 585">
              <controlPr defaultSize="0" autoFill="0" autoLine="0" autoPict="0">
                <anchor moveWithCells="1">
                  <from>
                    <xdr:col>8</xdr:col>
                    <xdr:colOff>9525</xdr:colOff>
                    <xdr:row>130</xdr:row>
                    <xdr:rowOff>19050</xdr:rowOff>
                  </from>
                  <to>
                    <xdr:col>8</xdr:col>
                    <xdr:colOff>19050</xdr:colOff>
                    <xdr:row>131</xdr:row>
                    <xdr:rowOff>19050</xdr:rowOff>
                  </to>
                </anchor>
              </controlPr>
            </control>
          </mc:Choice>
        </mc:AlternateContent>
        <mc:AlternateContent xmlns:mc="http://schemas.openxmlformats.org/markup-compatibility/2006">
          <mc:Choice Requires="x14">
            <control shapeId="1610" r:id="rId222" name="Check Box 586">
              <controlPr defaultSize="0" autoFill="0" autoLine="0" autoPict="0">
                <anchor moveWithCells="1">
                  <from>
                    <xdr:col>8</xdr:col>
                    <xdr:colOff>9525</xdr:colOff>
                    <xdr:row>131</xdr:row>
                    <xdr:rowOff>19050</xdr:rowOff>
                  </from>
                  <to>
                    <xdr:col>8</xdr:col>
                    <xdr:colOff>19050</xdr:colOff>
                    <xdr:row>132</xdr:row>
                    <xdr:rowOff>19050</xdr:rowOff>
                  </to>
                </anchor>
              </controlPr>
            </control>
          </mc:Choice>
        </mc:AlternateContent>
        <mc:AlternateContent xmlns:mc="http://schemas.openxmlformats.org/markup-compatibility/2006">
          <mc:Choice Requires="x14">
            <control shapeId="1611" r:id="rId223" name="Check Box 587">
              <controlPr defaultSize="0" autoFill="0" autoLine="0" autoPict="0">
                <anchor moveWithCells="1">
                  <from>
                    <xdr:col>8</xdr:col>
                    <xdr:colOff>9525</xdr:colOff>
                    <xdr:row>132</xdr:row>
                    <xdr:rowOff>19050</xdr:rowOff>
                  </from>
                  <to>
                    <xdr:col>8</xdr:col>
                    <xdr:colOff>19050</xdr:colOff>
                    <xdr:row>133</xdr:row>
                    <xdr:rowOff>19050</xdr:rowOff>
                  </to>
                </anchor>
              </controlPr>
            </control>
          </mc:Choice>
        </mc:AlternateContent>
        <mc:AlternateContent xmlns:mc="http://schemas.openxmlformats.org/markup-compatibility/2006">
          <mc:Choice Requires="x14">
            <control shapeId="1612" r:id="rId224" name="Check Box 588">
              <controlPr defaultSize="0" autoFill="0" autoLine="0" autoPict="0">
                <anchor moveWithCells="1">
                  <from>
                    <xdr:col>8</xdr:col>
                    <xdr:colOff>9525</xdr:colOff>
                    <xdr:row>133</xdr:row>
                    <xdr:rowOff>19050</xdr:rowOff>
                  </from>
                  <to>
                    <xdr:col>8</xdr:col>
                    <xdr:colOff>19050</xdr:colOff>
                    <xdr:row>134</xdr:row>
                    <xdr:rowOff>19050</xdr:rowOff>
                  </to>
                </anchor>
              </controlPr>
            </control>
          </mc:Choice>
        </mc:AlternateContent>
        <mc:AlternateContent xmlns:mc="http://schemas.openxmlformats.org/markup-compatibility/2006">
          <mc:Choice Requires="x14">
            <control shapeId="1613" r:id="rId225" name="Check Box 589">
              <controlPr defaultSize="0" autoFill="0" autoLine="0" autoPict="0">
                <anchor moveWithCells="1">
                  <from>
                    <xdr:col>8</xdr:col>
                    <xdr:colOff>9525</xdr:colOff>
                    <xdr:row>134</xdr:row>
                    <xdr:rowOff>19050</xdr:rowOff>
                  </from>
                  <to>
                    <xdr:col>8</xdr:col>
                    <xdr:colOff>19050</xdr:colOff>
                    <xdr:row>135</xdr:row>
                    <xdr:rowOff>19050</xdr:rowOff>
                  </to>
                </anchor>
              </controlPr>
            </control>
          </mc:Choice>
        </mc:AlternateContent>
        <mc:AlternateContent xmlns:mc="http://schemas.openxmlformats.org/markup-compatibility/2006">
          <mc:Choice Requires="x14">
            <control shapeId="1614" r:id="rId226" name="Check Box 590">
              <controlPr defaultSize="0" autoFill="0" autoLine="0" autoPict="0">
                <anchor moveWithCells="1">
                  <from>
                    <xdr:col>8</xdr:col>
                    <xdr:colOff>9525</xdr:colOff>
                    <xdr:row>135</xdr:row>
                    <xdr:rowOff>19050</xdr:rowOff>
                  </from>
                  <to>
                    <xdr:col>8</xdr:col>
                    <xdr:colOff>19050</xdr:colOff>
                    <xdr:row>136</xdr:row>
                    <xdr:rowOff>19050</xdr:rowOff>
                  </to>
                </anchor>
              </controlPr>
            </control>
          </mc:Choice>
        </mc:AlternateContent>
        <mc:AlternateContent xmlns:mc="http://schemas.openxmlformats.org/markup-compatibility/2006">
          <mc:Choice Requires="x14">
            <control shapeId="1615" r:id="rId227" name="Check Box 591">
              <controlPr defaultSize="0" autoFill="0" autoLine="0" autoPict="0">
                <anchor moveWithCells="1">
                  <from>
                    <xdr:col>8</xdr:col>
                    <xdr:colOff>9525</xdr:colOff>
                    <xdr:row>136</xdr:row>
                    <xdr:rowOff>19050</xdr:rowOff>
                  </from>
                  <to>
                    <xdr:col>8</xdr:col>
                    <xdr:colOff>19050</xdr:colOff>
                    <xdr:row>137</xdr:row>
                    <xdr:rowOff>19050</xdr:rowOff>
                  </to>
                </anchor>
              </controlPr>
            </control>
          </mc:Choice>
        </mc:AlternateContent>
        <mc:AlternateContent xmlns:mc="http://schemas.openxmlformats.org/markup-compatibility/2006">
          <mc:Choice Requires="x14">
            <control shapeId="1616" r:id="rId228" name="Check Box 592">
              <controlPr defaultSize="0" autoFill="0" autoLine="0" autoPict="0">
                <anchor moveWithCells="1">
                  <from>
                    <xdr:col>8</xdr:col>
                    <xdr:colOff>9525</xdr:colOff>
                    <xdr:row>137</xdr:row>
                    <xdr:rowOff>19050</xdr:rowOff>
                  </from>
                  <to>
                    <xdr:col>8</xdr:col>
                    <xdr:colOff>19050</xdr:colOff>
                    <xdr:row>138</xdr:row>
                    <xdr:rowOff>19050</xdr:rowOff>
                  </to>
                </anchor>
              </controlPr>
            </control>
          </mc:Choice>
        </mc:AlternateContent>
        <mc:AlternateContent xmlns:mc="http://schemas.openxmlformats.org/markup-compatibility/2006">
          <mc:Choice Requires="x14">
            <control shapeId="1617" r:id="rId229" name="Check Box 593">
              <controlPr defaultSize="0" autoFill="0" autoLine="0" autoPict="0">
                <anchor moveWithCells="1">
                  <from>
                    <xdr:col>8</xdr:col>
                    <xdr:colOff>9525</xdr:colOff>
                    <xdr:row>138</xdr:row>
                    <xdr:rowOff>19050</xdr:rowOff>
                  </from>
                  <to>
                    <xdr:col>8</xdr:col>
                    <xdr:colOff>19050</xdr:colOff>
                    <xdr:row>139</xdr:row>
                    <xdr:rowOff>19050</xdr:rowOff>
                  </to>
                </anchor>
              </controlPr>
            </control>
          </mc:Choice>
        </mc:AlternateContent>
        <mc:AlternateContent xmlns:mc="http://schemas.openxmlformats.org/markup-compatibility/2006">
          <mc:Choice Requires="x14">
            <control shapeId="1618" r:id="rId230" name="Check Box 594">
              <controlPr defaultSize="0" autoFill="0" autoLine="0" autoPict="0">
                <anchor moveWithCells="1">
                  <from>
                    <xdr:col>8</xdr:col>
                    <xdr:colOff>9525</xdr:colOff>
                    <xdr:row>139</xdr:row>
                    <xdr:rowOff>19050</xdr:rowOff>
                  </from>
                  <to>
                    <xdr:col>8</xdr:col>
                    <xdr:colOff>19050</xdr:colOff>
                    <xdr:row>140</xdr:row>
                    <xdr:rowOff>19050</xdr:rowOff>
                  </to>
                </anchor>
              </controlPr>
            </control>
          </mc:Choice>
        </mc:AlternateContent>
        <mc:AlternateContent xmlns:mc="http://schemas.openxmlformats.org/markup-compatibility/2006">
          <mc:Choice Requires="x14">
            <control shapeId="1619" r:id="rId231" name="Check Box 595">
              <controlPr defaultSize="0" autoFill="0" autoLine="0" autoPict="0">
                <anchor moveWithCells="1">
                  <from>
                    <xdr:col>8</xdr:col>
                    <xdr:colOff>9525</xdr:colOff>
                    <xdr:row>140</xdr:row>
                    <xdr:rowOff>19050</xdr:rowOff>
                  </from>
                  <to>
                    <xdr:col>8</xdr:col>
                    <xdr:colOff>19050</xdr:colOff>
                    <xdr:row>141</xdr:row>
                    <xdr:rowOff>19050</xdr:rowOff>
                  </to>
                </anchor>
              </controlPr>
            </control>
          </mc:Choice>
        </mc:AlternateContent>
        <mc:AlternateContent xmlns:mc="http://schemas.openxmlformats.org/markup-compatibility/2006">
          <mc:Choice Requires="x14">
            <control shapeId="1620" r:id="rId232" name="Check Box 596">
              <controlPr defaultSize="0" autoFill="0" autoLine="0" autoPict="0">
                <anchor moveWithCells="1">
                  <from>
                    <xdr:col>8</xdr:col>
                    <xdr:colOff>9525</xdr:colOff>
                    <xdr:row>141</xdr:row>
                    <xdr:rowOff>19050</xdr:rowOff>
                  </from>
                  <to>
                    <xdr:col>8</xdr:col>
                    <xdr:colOff>19050</xdr:colOff>
                    <xdr:row>142</xdr:row>
                    <xdr:rowOff>19050</xdr:rowOff>
                  </to>
                </anchor>
              </controlPr>
            </control>
          </mc:Choice>
        </mc:AlternateContent>
        <mc:AlternateContent xmlns:mc="http://schemas.openxmlformats.org/markup-compatibility/2006">
          <mc:Choice Requires="x14">
            <control shapeId="1621" r:id="rId233" name="Check Box 597">
              <controlPr defaultSize="0" autoFill="0" autoLine="0" autoPict="0">
                <anchor moveWithCells="1">
                  <from>
                    <xdr:col>8</xdr:col>
                    <xdr:colOff>9525</xdr:colOff>
                    <xdr:row>142</xdr:row>
                    <xdr:rowOff>19050</xdr:rowOff>
                  </from>
                  <to>
                    <xdr:col>8</xdr:col>
                    <xdr:colOff>19050</xdr:colOff>
                    <xdr:row>143</xdr:row>
                    <xdr:rowOff>19050</xdr:rowOff>
                  </to>
                </anchor>
              </controlPr>
            </control>
          </mc:Choice>
        </mc:AlternateContent>
        <mc:AlternateContent xmlns:mc="http://schemas.openxmlformats.org/markup-compatibility/2006">
          <mc:Choice Requires="x14">
            <control shapeId="1622" r:id="rId234" name="Check Box 598">
              <controlPr defaultSize="0" autoFill="0" autoLine="0" autoPict="0">
                <anchor moveWithCells="1">
                  <from>
                    <xdr:col>8</xdr:col>
                    <xdr:colOff>9525</xdr:colOff>
                    <xdr:row>143</xdr:row>
                    <xdr:rowOff>19050</xdr:rowOff>
                  </from>
                  <to>
                    <xdr:col>8</xdr:col>
                    <xdr:colOff>19050</xdr:colOff>
                    <xdr:row>144</xdr:row>
                    <xdr:rowOff>19050</xdr:rowOff>
                  </to>
                </anchor>
              </controlPr>
            </control>
          </mc:Choice>
        </mc:AlternateContent>
        <mc:AlternateContent xmlns:mc="http://schemas.openxmlformats.org/markup-compatibility/2006">
          <mc:Choice Requires="x14">
            <control shapeId="1623" r:id="rId235" name="Check Box 599">
              <controlPr defaultSize="0" autoFill="0" autoLine="0" autoPict="0">
                <anchor moveWithCells="1">
                  <from>
                    <xdr:col>8</xdr:col>
                    <xdr:colOff>9525</xdr:colOff>
                    <xdr:row>144</xdr:row>
                    <xdr:rowOff>19050</xdr:rowOff>
                  </from>
                  <to>
                    <xdr:col>8</xdr:col>
                    <xdr:colOff>19050</xdr:colOff>
                    <xdr:row>146</xdr:row>
                    <xdr:rowOff>9525</xdr:rowOff>
                  </to>
                </anchor>
              </controlPr>
            </control>
          </mc:Choice>
        </mc:AlternateContent>
        <mc:AlternateContent xmlns:mc="http://schemas.openxmlformats.org/markup-compatibility/2006">
          <mc:Choice Requires="x14">
            <control shapeId="1624" r:id="rId236" name="Check Box 600">
              <controlPr defaultSize="0" autoFill="0" autoLine="0" autoPict="0">
                <anchor moveWithCells="1">
                  <from>
                    <xdr:col>12</xdr:col>
                    <xdr:colOff>0</xdr:colOff>
                    <xdr:row>184</xdr:row>
                    <xdr:rowOff>28575</xdr:rowOff>
                  </from>
                  <to>
                    <xdr:col>12</xdr:col>
                    <xdr:colOff>0</xdr:colOff>
                    <xdr:row>184</xdr:row>
                    <xdr:rowOff>28575</xdr:rowOff>
                  </to>
                </anchor>
              </controlPr>
            </control>
          </mc:Choice>
        </mc:AlternateContent>
        <mc:AlternateContent xmlns:mc="http://schemas.openxmlformats.org/markup-compatibility/2006">
          <mc:Choice Requires="x14">
            <control shapeId="1625" r:id="rId237" name="Check Box 601">
              <controlPr defaultSize="0" autoFill="0" autoLine="0" autoPict="0">
                <anchor moveWithCells="1">
                  <from>
                    <xdr:col>12</xdr:col>
                    <xdr:colOff>0</xdr:colOff>
                    <xdr:row>185</xdr:row>
                    <xdr:rowOff>28575</xdr:rowOff>
                  </from>
                  <to>
                    <xdr:col>12</xdr:col>
                    <xdr:colOff>0</xdr:colOff>
                    <xdr:row>185</xdr:row>
                    <xdr:rowOff>28575</xdr:rowOff>
                  </to>
                </anchor>
              </controlPr>
            </control>
          </mc:Choice>
        </mc:AlternateContent>
        <mc:AlternateContent xmlns:mc="http://schemas.openxmlformats.org/markup-compatibility/2006">
          <mc:Choice Requires="x14">
            <control shapeId="1626" r:id="rId238" name="Check Box 602">
              <controlPr defaultSize="0" autoFill="0" autoLine="0" autoPict="0">
                <anchor moveWithCells="1">
                  <from>
                    <xdr:col>12</xdr:col>
                    <xdr:colOff>0</xdr:colOff>
                    <xdr:row>186</xdr:row>
                    <xdr:rowOff>28575</xdr:rowOff>
                  </from>
                  <to>
                    <xdr:col>12</xdr:col>
                    <xdr:colOff>0</xdr:colOff>
                    <xdr:row>186</xdr:row>
                    <xdr:rowOff>28575</xdr:rowOff>
                  </to>
                </anchor>
              </controlPr>
            </control>
          </mc:Choice>
        </mc:AlternateContent>
        <mc:AlternateContent xmlns:mc="http://schemas.openxmlformats.org/markup-compatibility/2006">
          <mc:Choice Requires="x14">
            <control shapeId="1627" r:id="rId239" name="Check Box 603">
              <controlPr defaultSize="0" autoFill="0" autoLine="0" autoPict="0">
                <anchor moveWithCells="1">
                  <from>
                    <xdr:col>12</xdr:col>
                    <xdr:colOff>0</xdr:colOff>
                    <xdr:row>187</xdr:row>
                    <xdr:rowOff>28575</xdr:rowOff>
                  </from>
                  <to>
                    <xdr:col>12</xdr:col>
                    <xdr:colOff>0</xdr:colOff>
                    <xdr:row>187</xdr:row>
                    <xdr:rowOff>28575</xdr:rowOff>
                  </to>
                </anchor>
              </controlPr>
            </control>
          </mc:Choice>
        </mc:AlternateContent>
        <mc:AlternateContent xmlns:mc="http://schemas.openxmlformats.org/markup-compatibility/2006">
          <mc:Choice Requires="x14">
            <control shapeId="1628" r:id="rId240" name="Check Box 604">
              <controlPr defaultSize="0" autoFill="0" autoLine="0" autoPict="0">
                <anchor moveWithCells="1">
                  <from>
                    <xdr:col>12</xdr:col>
                    <xdr:colOff>0</xdr:colOff>
                    <xdr:row>188</xdr:row>
                    <xdr:rowOff>28575</xdr:rowOff>
                  </from>
                  <to>
                    <xdr:col>12</xdr:col>
                    <xdr:colOff>0</xdr:colOff>
                    <xdr:row>188</xdr:row>
                    <xdr:rowOff>28575</xdr:rowOff>
                  </to>
                </anchor>
              </controlPr>
            </control>
          </mc:Choice>
        </mc:AlternateContent>
        <mc:AlternateContent xmlns:mc="http://schemas.openxmlformats.org/markup-compatibility/2006">
          <mc:Choice Requires="x14">
            <control shapeId="1629" r:id="rId241" name="Check Box 605">
              <controlPr defaultSize="0" autoFill="0" autoLine="0" autoPict="0">
                <anchor moveWithCells="1">
                  <from>
                    <xdr:col>12</xdr:col>
                    <xdr:colOff>0</xdr:colOff>
                    <xdr:row>189</xdr:row>
                    <xdr:rowOff>28575</xdr:rowOff>
                  </from>
                  <to>
                    <xdr:col>12</xdr:col>
                    <xdr:colOff>0</xdr:colOff>
                    <xdr:row>189</xdr:row>
                    <xdr:rowOff>28575</xdr:rowOff>
                  </to>
                </anchor>
              </controlPr>
            </control>
          </mc:Choice>
        </mc:AlternateContent>
        <mc:AlternateContent xmlns:mc="http://schemas.openxmlformats.org/markup-compatibility/2006">
          <mc:Choice Requires="x14">
            <control shapeId="1630" r:id="rId242" name="Check Box 606">
              <controlPr defaultSize="0" autoFill="0" autoLine="0" autoPict="0">
                <anchor moveWithCells="1">
                  <from>
                    <xdr:col>12</xdr:col>
                    <xdr:colOff>0</xdr:colOff>
                    <xdr:row>190</xdr:row>
                    <xdr:rowOff>28575</xdr:rowOff>
                  </from>
                  <to>
                    <xdr:col>12</xdr:col>
                    <xdr:colOff>0</xdr:colOff>
                    <xdr:row>190</xdr:row>
                    <xdr:rowOff>28575</xdr:rowOff>
                  </to>
                </anchor>
              </controlPr>
            </control>
          </mc:Choice>
        </mc:AlternateContent>
        <mc:AlternateContent xmlns:mc="http://schemas.openxmlformats.org/markup-compatibility/2006">
          <mc:Choice Requires="x14">
            <control shapeId="1631" r:id="rId243" name="Check Box 607">
              <controlPr defaultSize="0" autoFill="0" autoLine="0" autoPict="0">
                <anchor moveWithCells="1">
                  <from>
                    <xdr:col>12</xdr:col>
                    <xdr:colOff>0</xdr:colOff>
                    <xdr:row>191</xdr:row>
                    <xdr:rowOff>28575</xdr:rowOff>
                  </from>
                  <to>
                    <xdr:col>12</xdr:col>
                    <xdr:colOff>0</xdr:colOff>
                    <xdr:row>191</xdr:row>
                    <xdr:rowOff>28575</xdr:rowOff>
                  </to>
                </anchor>
              </controlPr>
            </control>
          </mc:Choice>
        </mc:AlternateContent>
        <mc:AlternateContent xmlns:mc="http://schemas.openxmlformats.org/markup-compatibility/2006">
          <mc:Choice Requires="x14">
            <control shapeId="1632" r:id="rId244" name="Check Box 608">
              <controlPr defaultSize="0" autoFill="0" autoLine="0" autoPict="0">
                <anchor moveWithCells="1">
                  <from>
                    <xdr:col>12</xdr:col>
                    <xdr:colOff>0</xdr:colOff>
                    <xdr:row>192</xdr:row>
                    <xdr:rowOff>28575</xdr:rowOff>
                  </from>
                  <to>
                    <xdr:col>12</xdr:col>
                    <xdr:colOff>0</xdr:colOff>
                    <xdr:row>192</xdr:row>
                    <xdr:rowOff>28575</xdr:rowOff>
                  </to>
                </anchor>
              </controlPr>
            </control>
          </mc:Choice>
        </mc:AlternateContent>
        <mc:AlternateContent xmlns:mc="http://schemas.openxmlformats.org/markup-compatibility/2006">
          <mc:Choice Requires="x14">
            <control shapeId="1633" r:id="rId245" name="Check Box 609">
              <controlPr defaultSize="0" autoFill="0" autoLine="0" autoPict="0">
                <anchor moveWithCells="1">
                  <from>
                    <xdr:col>12</xdr:col>
                    <xdr:colOff>0</xdr:colOff>
                    <xdr:row>193</xdr:row>
                    <xdr:rowOff>28575</xdr:rowOff>
                  </from>
                  <to>
                    <xdr:col>12</xdr:col>
                    <xdr:colOff>0</xdr:colOff>
                    <xdr:row>193</xdr:row>
                    <xdr:rowOff>28575</xdr:rowOff>
                  </to>
                </anchor>
              </controlPr>
            </control>
          </mc:Choice>
        </mc:AlternateContent>
        <mc:AlternateContent xmlns:mc="http://schemas.openxmlformats.org/markup-compatibility/2006">
          <mc:Choice Requires="x14">
            <control shapeId="1634" r:id="rId246" name="Check Box 610">
              <controlPr defaultSize="0" autoFill="0" autoLine="0" autoPict="0">
                <anchor moveWithCells="1">
                  <from>
                    <xdr:col>12</xdr:col>
                    <xdr:colOff>0</xdr:colOff>
                    <xdr:row>194</xdr:row>
                    <xdr:rowOff>28575</xdr:rowOff>
                  </from>
                  <to>
                    <xdr:col>12</xdr:col>
                    <xdr:colOff>0</xdr:colOff>
                    <xdr:row>194</xdr:row>
                    <xdr:rowOff>28575</xdr:rowOff>
                  </to>
                </anchor>
              </controlPr>
            </control>
          </mc:Choice>
        </mc:AlternateContent>
        <mc:AlternateContent xmlns:mc="http://schemas.openxmlformats.org/markup-compatibility/2006">
          <mc:Choice Requires="x14">
            <control shapeId="1635" r:id="rId247" name="Check Box 611">
              <controlPr defaultSize="0" autoFill="0" autoLine="0" autoPict="0">
                <anchor moveWithCells="1">
                  <from>
                    <xdr:col>12</xdr:col>
                    <xdr:colOff>0</xdr:colOff>
                    <xdr:row>195</xdr:row>
                    <xdr:rowOff>28575</xdr:rowOff>
                  </from>
                  <to>
                    <xdr:col>12</xdr:col>
                    <xdr:colOff>0</xdr:colOff>
                    <xdr:row>195</xdr:row>
                    <xdr:rowOff>28575</xdr:rowOff>
                  </to>
                </anchor>
              </controlPr>
            </control>
          </mc:Choice>
        </mc:AlternateContent>
        <mc:AlternateContent xmlns:mc="http://schemas.openxmlformats.org/markup-compatibility/2006">
          <mc:Choice Requires="x14">
            <control shapeId="1636" r:id="rId248" name="Check Box 612">
              <controlPr defaultSize="0" autoFill="0" autoLine="0" autoPict="0">
                <anchor moveWithCells="1">
                  <from>
                    <xdr:col>12</xdr:col>
                    <xdr:colOff>0</xdr:colOff>
                    <xdr:row>196</xdr:row>
                    <xdr:rowOff>28575</xdr:rowOff>
                  </from>
                  <to>
                    <xdr:col>12</xdr:col>
                    <xdr:colOff>0</xdr:colOff>
                    <xdr:row>196</xdr:row>
                    <xdr:rowOff>28575</xdr:rowOff>
                  </to>
                </anchor>
              </controlPr>
            </control>
          </mc:Choice>
        </mc:AlternateContent>
        <mc:AlternateContent xmlns:mc="http://schemas.openxmlformats.org/markup-compatibility/2006">
          <mc:Choice Requires="x14">
            <control shapeId="1637" r:id="rId249" name="Check Box 613">
              <controlPr defaultSize="0" autoFill="0" autoLine="0" autoPict="0">
                <anchor moveWithCells="1">
                  <from>
                    <xdr:col>12</xdr:col>
                    <xdr:colOff>0</xdr:colOff>
                    <xdr:row>197</xdr:row>
                    <xdr:rowOff>28575</xdr:rowOff>
                  </from>
                  <to>
                    <xdr:col>12</xdr:col>
                    <xdr:colOff>0</xdr:colOff>
                    <xdr:row>197</xdr:row>
                    <xdr:rowOff>28575</xdr:rowOff>
                  </to>
                </anchor>
              </controlPr>
            </control>
          </mc:Choice>
        </mc:AlternateContent>
        <mc:AlternateContent xmlns:mc="http://schemas.openxmlformats.org/markup-compatibility/2006">
          <mc:Choice Requires="x14">
            <control shapeId="1638" r:id="rId250" name="Check Box 614">
              <controlPr defaultSize="0" autoFill="0" autoLine="0" autoPict="0">
                <anchor moveWithCells="1">
                  <from>
                    <xdr:col>12</xdr:col>
                    <xdr:colOff>0</xdr:colOff>
                    <xdr:row>198</xdr:row>
                    <xdr:rowOff>28575</xdr:rowOff>
                  </from>
                  <to>
                    <xdr:col>12</xdr:col>
                    <xdr:colOff>0</xdr:colOff>
                    <xdr:row>198</xdr:row>
                    <xdr:rowOff>28575</xdr:rowOff>
                  </to>
                </anchor>
              </controlPr>
            </control>
          </mc:Choice>
        </mc:AlternateContent>
        <mc:AlternateContent xmlns:mc="http://schemas.openxmlformats.org/markup-compatibility/2006">
          <mc:Choice Requires="x14">
            <control shapeId="1639" r:id="rId251" name="Check Box 615">
              <controlPr defaultSize="0" autoFill="0" autoLine="0" autoPict="0">
                <anchor moveWithCells="1">
                  <from>
                    <xdr:col>12</xdr:col>
                    <xdr:colOff>0</xdr:colOff>
                    <xdr:row>199</xdr:row>
                    <xdr:rowOff>28575</xdr:rowOff>
                  </from>
                  <to>
                    <xdr:col>12</xdr:col>
                    <xdr:colOff>0</xdr:colOff>
                    <xdr:row>199</xdr:row>
                    <xdr:rowOff>28575</xdr:rowOff>
                  </to>
                </anchor>
              </controlPr>
            </control>
          </mc:Choice>
        </mc:AlternateContent>
        <mc:AlternateContent xmlns:mc="http://schemas.openxmlformats.org/markup-compatibility/2006">
          <mc:Choice Requires="x14">
            <control shapeId="1640" r:id="rId252" name="Check Box 616">
              <controlPr defaultSize="0" autoFill="0" autoLine="0" autoPict="0">
                <anchor moveWithCells="1">
                  <from>
                    <xdr:col>12</xdr:col>
                    <xdr:colOff>0</xdr:colOff>
                    <xdr:row>200</xdr:row>
                    <xdr:rowOff>28575</xdr:rowOff>
                  </from>
                  <to>
                    <xdr:col>12</xdr:col>
                    <xdr:colOff>0</xdr:colOff>
                    <xdr:row>200</xdr:row>
                    <xdr:rowOff>28575</xdr:rowOff>
                  </to>
                </anchor>
              </controlPr>
            </control>
          </mc:Choice>
        </mc:AlternateContent>
        <mc:AlternateContent xmlns:mc="http://schemas.openxmlformats.org/markup-compatibility/2006">
          <mc:Choice Requires="x14">
            <control shapeId="1641" r:id="rId253" name="Check Box 617">
              <controlPr defaultSize="0" autoFill="0" autoLine="0" autoPict="0">
                <anchor moveWithCells="1">
                  <from>
                    <xdr:col>12</xdr:col>
                    <xdr:colOff>0</xdr:colOff>
                    <xdr:row>201</xdr:row>
                    <xdr:rowOff>28575</xdr:rowOff>
                  </from>
                  <to>
                    <xdr:col>12</xdr:col>
                    <xdr:colOff>0</xdr:colOff>
                    <xdr:row>201</xdr:row>
                    <xdr:rowOff>28575</xdr:rowOff>
                  </to>
                </anchor>
              </controlPr>
            </control>
          </mc:Choice>
        </mc:AlternateContent>
        <mc:AlternateContent xmlns:mc="http://schemas.openxmlformats.org/markup-compatibility/2006">
          <mc:Choice Requires="x14">
            <control shapeId="1642" r:id="rId254" name="Check Box 618">
              <controlPr defaultSize="0" autoFill="0" autoLine="0" autoPict="0">
                <anchor moveWithCells="1">
                  <from>
                    <xdr:col>12</xdr:col>
                    <xdr:colOff>0</xdr:colOff>
                    <xdr:row>202</xdr:row>
                    <xdr:rowOff>28575</xdr:rowOff>
                  </from>
                  <to>
                    <xdr:col>12</xdr:col>
                    <xdr:colOff>0</xdr:colOff>
                    <xdr:row>202</xdr:row>
                    <xdr:rowOff>28575</xdr:rowOff>
                  </to>
                </anchor>
              </controlPr>
            </control>
          </mc:Choice>
        </mc:AlternateContent>
        <mc:AlternateContent xmlns:mc="http://schemas.openxmlformats.org/markup-compatibility/2006">
          <mc:Choice Requires="x14">
            <control shapeId="1643" r:id="rId255" name="Check Box 619">
              <controlPr defaultSize="0" autoFill="0" autoLine="0" autoPict="0">
                <anchor moveWithCells="1">
                  <from>
                    <xdr:col>12</xdr:col>
                    <xdr:colOff>0</xdr:colOff>
                    <xdr:row>271</xdr:row>
                    <xdr:rowOff>28575</xdr:rowOff>
                  </from>
                  <to>
                    <xdr:col>12</xdr:col>
                    <xdr:colOff>0</xdr:colOff>
                    <xdr:row>271</xdr:row>
                    <xdr:rowOff>28575</xdr:rowOff>
                  </to>
                </anchor>
              </controlPr>
            </control>
          </mc:Choice>
        </mc:AlternateContent>
        <mc:AlternateContent xmlns:mc="http://schemas.openxmlformats.org/markup-compatibility/2006">
          <mc:Choice Requires="x14">
            <control shapeId="1644" r:id="rId256" name="Check Box 620">
              <controlPr defaultSize="0" autoFill="0" autoLine="0" autoPict="0">
                <anchor moveWithCells="1">
                  <from>
                    <xdr:col>12</xdr:col>
                    <xdr:colOff>0</xdr:colOff>
                    <xdr:row>272</xdr:row>
                    <xdr:rowOff>28575</xdr:rowOff>
                  </from>
                  <to>
                    <xdr:col>12</xdr:col>
                    <xdr:colOff>0</xdr:colOff>
                    <xdr:row>272</xdr:row>
                    <xdr:rowOff>28575</xdr:rowOff>
                  </to>
                </anchor>
              </controlPr>
            </control>
          </mc:Choice>
        </mc:AlternateContent>
        <mc:AlternateContent xmlns:mc="http://schemas.openxmlformats.org/markup-compatibility/2006">
          <mc:Choice Requires="x14">
            <control shapeId="1645" r:id="rId257" name="Check Box 621">
              <controlPr defaultSize="0" autoFill="0" autoLine="0" autoPict="0">
                <anchor moveWithCells="1">
                  <from>
                    <xdr:col>12</xdr:col>
                    <xdr:colOff>0</xdr:colOff>
                    <xdr:row>273</xdr:row>
                    <xdr:rowOff>28575</xdr:rowOff>
                  </from>
                  <to>
                    <xdr:col>12</xdr:col>
                    <xdr:colOff>0</xdr:colOff>
                    <xdr:row>273</xdr:row>
                    <xdr:rowOff>28575</xdr:rowOff>
                  </to>
                </anchor>
              </controlPr>
            </control>
          </mc:Choice>
        </mc:AlternateContent>
        <mc:AlternateContent xmlns:mc="http://schemas.openxmlformats.org/markup-compatibility/2006">
          <mc:Choice Requires="x14">
            <control shapeId="1646" r:id="rId258" name="Check Box 622">
              <controlPr defaultSize="0" autoFill="0" autoLine="0" autoPict="0">
                <anchor moveWithCells="1">
                  <from>
                    <xdr:col>12</xdr:col>
                    <xdr:colOff>0</xdr:colOff>
                    <xdr:row>274</xdr:row>
                    <xdr:rowOff>28575</xdr:rowOff>
                  </from>
                  <to>
                    <xdr:col>12</xdr:col>
                    <xdr:colOff>0</xdr:colOff>
                    <xdr:row>274</xdr:row>
                    <xdr:rowOff>28575</xdr:rowOff>
                  </to>
                </anchor>
              </controlPr>
            </control>
          </mc:Choice>
        </mc:AlternateContent>
        <mc:AlternateContent xmlns:mc="http://schemas.openxmlformats.org/markup-compatibility/2006">
          <mc:Choice Requires="x14">
            <control shapeId="1647" r:id="rId259" name="Check Box 623">
              <controlPr defaultSize="0" autoFill="0" autoLine="0" autoPict="0">
                <anchor moveWithCells="1">
                  <from>
                    <xdr:col>12</xdr:col>
                    <xdr:colOff>0</xdr:colOff>
                    <xdr:row>275</xdr:row>
                    <xdr:rowOff>28575</xdr:rowOff>
                  </from>
                  <to>
                    <xdr:col>12</xdr:col>
                    <xdr:colOff>0</xdr:colOff>
                    <xdr:row>275</xdr:row>
                    <xdr:rowOff>28575</xdr:rowOff>
                  </to>
                </anchor>
              </controlPr>
            </control>
          </mc:Choice>
        </mc:AlternateContent>
        <mc:AlternateContent xmlns:mc="http://schemas.openxmlformats.org/markup-compatibility/2006">
          <mc:Choice Requires="x14">
            <control shapeId="1648" r:id="rId260" name="Check Box 624">
              <controlPr defaultSize="0" autoFill="0" autoLine="0" autoPict="0">
                <anchor moveWithCells="1">
                  <from>
                    <xdr:col>12</xdr:col>
                    <xdr:colOff>0</xdr:colOff>
                    <xdr:row>276</xdr:row>
                    <xdr:rowOff>28575</xdr:rowOff>
                  </from>
                  <to>
                    <xdr:col>12</xdr:col>
                    <xdr:colOff>0</xdr:colOff>
                    <xdr:row>276</xdr:row>
                    <xdr:rowOff>28575</xdr:rowOff>
                  </to>
                </anchor>
              </controlPr>
            </control>
          </mc:Choice>
        </mc:AlternateContent>
        <mc:AlternateContent xmlns:mc="http://schemas.openxmlformats.org/markup-compatibility/2006">
          <mc:Choice Requires="x14">
            <control shapeId="1649" r:id="rId261" name="Check Box 625">
              <controlPr defaultSize="0" autoFill="0" autoLine="0" autoPict="0">
                <anchor moveWithCells="1">
                  <from>
                    <xdr:col>12</xdr:col>
                    <xdr:colOff>0</xdr:colOff>
                    <xdr:row>277</xdr:row>
                    <xdr:rowOff>28575</xdr:rowOff>
                  </from>
                  <to>
                    <xdr:col>12</xdr:col>
                    <xdr:colOff>0</xdr:colOff>
                    <xdr:row>277</xdr:row>
                    <xdr:rowOff>28575</xdr:rowOff>
                  </to>
                </anchor>
              </controlPr>
            </control>
          </mc:Choice>
        </mc:AlternateContent>
        <mc:AlternateContent xmlns:mc="http://schemas.openxmlformats.org/markup-compatibility/2006">
          <mc:Choice Requires="x14">
            <control shapeId="1650" r:id="rId262" name="Check Box 626">
              <controlPr defaultSize="0" autoFill="0" autoLine="0" autoPict="0">
                <anchor moveWithCells="1">
                  <from>
                    <xdr:col>12</xdr:col>
                    <xdr:colOff>0</xdr:colOff>
                    <xdr:row>278</xdr:row>
                    <xdr:rowOff>28575</xdr:rowOff>
                  </from>
                  <to>
                    <xdr:col>12</xdr:col>
                    <xdr:colOff>0</xdr:colOff>
                    <xdr:row>278</xdr:row>
                    <xdr:rowOff>28575</xdr:rowOff>
                  </to>
                </anchor>
              </controlPr>
            </control>
          </mc:Choice>
        </mc:AlternateContent>
        <mc:AlternateContent xmlns:mc="http://schemas.openxmlformats.org/markup-compatibility/2006">
          <mc:Choice Requires="x14">
            <control shapeId="1651" r:id="rId263" name="Check Box 627">
              <controlPr defaultSize="0" autoFill="0" autoLine="0" autoPict="0">
                <anchor moveWithCells="1">
                  <from>
                    <xdr:col>12</xdr:col>
                    <xdr:colOff>0</xdr:colOff>
                    <xdr:row>279</xdr:row>
                    <xdr:rowOff>28575</xdr:rowOff>
                  </from>
                  <to>
                    <xdr:col>12</xdr:col>
                    <xdr:colOff>0</xdr:colOff>
                    <xdr:row>279</xdr:row>
                    <xdr:rowOff>28575</xdr:rowOff>
                  </to>
                </anchor>
              </controlPr>
            </control>
          </mc:Choice>
        </mc:AlternateContent>
        <mc:AlternateContent xmlns:mc="http://schemas.openxmlformats.org/markup-compatibility/2006">
          <mc:Choice Requires="x14">
            <control shapeId="1652" r:id="rId264" name="Check Box 628">
              <controlPr defaultSize="0" autoFill="0" autoLine="0" autoPict="0">
                <anchor moveWithCells="1">
                  <from>
                    <xdr:col>12</xdr:col>
                    <xdr:colOff>0</xdr:colOff>
                    <xdr:row>280</xdr:row>
                    <xdr:rowOff>28575</xdr:rowOff>
                  </from>
                  <to>
                    <xdr:col>12</xdr:col>
                    <xdr:colOff>0</xdr:colOff>
                    <xdr:row>280</xdr:row>
                    <xdr:rowOff>28575</xdr:rowOff>
                  </to>
                </anchor>
              </controlPr>
            </control>
          </mc:Choice>
        </mc:AlternateContent>
        <mc:AlternateContent xmlns:mc="http://schemas.openxmlformats.org/markup-compatibility/2006">
          <mc:Choice Requires="x14">
            <control shapeId="1653" r:id="rId265" name="Check Box 629">
              <controlPr defaultSize="0" autoFill="0" autoLine="0" autoPict="0">
                <anchor moveWithCells="1">
                  <from>
                    <xdr:col>12</xdr:col>
                    <xdr:colOff>0</xdr:colOff>
                    <xdr:row>281</xdr:row>
                    <xdr:rowOff>28575</xdr:rowOff>
                  </from>
                  <to>
                    <xdr:col>12</xdr:col>
                    <xdr:colOff>0</xdr:colOff>
                    <xdr:row>281</xdr:row>
                    <xdr:rowOff>28575</xdr:rowOff>
                  </to>
                </anchor>
              </controlPr>
            </control>
          </mc:Choice>
        </mc:AlternateContent>
        <mc:AlternateContent xmlns:mc="http://schemas.openxmlformats.org/markup-compatibility/2006">
          <mc:Choice Requires="x14">
            <control shapeId="1654" r:id="rId266" name="Check Box 630">
              <controlPr defaultSize="0" autoFill="0" autoLine="0" autoPict="0">
                <anchor moveWithCells="1">
                  <from>
                    <xdr:col>12</xdr:col>
                    <xdr:colOff>0</xdr:colOff>
                    <xdr:row>282</xdr:row>
                    <xdr:rowOff>28575</xdr:rowOff>
                  </from>
                  <to>
                    <xdr:col>12</xdr:col>
                    <xdr:colOff>0</xdr:colOff>
                    <xdr:row>282</xdr:row>
                    <xdr:rowOff>28575</xdr:rowOff>
                  </to>
                </anchor>
              </controlPr>
            </control>
          </mc:Choice>
        </mc:AlternateContent>
        <mc:AlternateContent xmlns:mc="http://schemas.openxmlformats.org/markup-compatibility/2006">
          <mc:Choice Requires="x14">
            <control shapeId="1655" r:id="rId267" name="Check Box 631">
              <controlPr defaultSize="0" autoFill="0" autoLine="0" autoPict="0">
                <anchor moveWithCells="1">
                  <from>
                    <xdr:col>12</xdr:col>
                    <xdr:colOff>0</xdr:colOff>
                    <xdr:row>283</xdr:row>
                    <xdr:rowOff>28575</xdr:rowOff>
                  </from>
                  <to>
                    <xdr:col>12</xdr:col>
                    <xdr:colOff>0</xdr:colOff>
                    <xdr:row>283</xdr:row>
                    <xdr:rowOff>28575</xdr:rowOff>
                  </to>
                </anchor>
              </controlPr>
            </control>
          </mc:Choice>
        </mc:AlternateContent>
        <mc:AlternateContent xmlns:mc="http://schemas.openxmlformats.org/markup-compatibility/2006">
          <mc:Choice Requires="x14">
            <control shapeId="1656" r:id="rId268" name="Check Box 632">
              <controlPr defaultSize="0" autoFill="0" autoLine="0" autoPict="0">
                <anchor moveWithCells="1">
                  <from>
                    <xdr:col>12</xdr:col>
                    <xdr:colOff>0</xdr:colOff>
                    <xdr:row>284</xdr:row>
                    <xdr:rowOff>28575</xdr:rowOff>
                  </from>
                  <to>
                    <xdr:col>12</xdr:col>
                    <xdr:colOff>0</xdr:colOff>
                    <xdr:row>284</xdr:row>
                    <xdr:rowOff>28575</xdr:rowOff>
                  </to>
                </anchor>
              </controlPr>
            </control>
          </mc:Choice>
        </mc:AlternateContent>
        <mc:AlternateContent xmlns:mc="http://schemas.openxmlformats.org/markup-compatibility/2006">
          <mc:Choice Requires="x14">
            <control shapeId="1657" r:id="rId269" name="Check Box 633">
              <controlPr defaultSize="0" autoFill="0" autoLine="0" autoPict="0">
                <anchor moveWithCells="1">
                  <from>
                    <xdr:col>12</xdr:col>
                    <xdr:colOff>0</xdr:colOff>
                    <xdr:row>285</xdr:row>
                    <xdr:rowOff>28575</xdr:rowOff>
                  </from>
                  <to>
                    <xdr:col>12</xdr:col>
                    <xdr:colOff>0</xdr:colOff>
                    <xdr:row>285</xdr:row>
                    <xdr:rowOff>28575</xdr:rowOff>
                  </to>
                </anchor>
              </controlPr>
            </control>
          </mc:Choice>
        </mc:AlternateContent>
        <mc:AlternateContent xmlns:mc="http://schemas.openxmlformats.org/markup-compatibility/2006">
          <mc:Choice Requires="x14">
            <control shapeId="1658" r:id="rId270" name="Check Box 634">
              <controlPr defaultSize="0" autoFill="0" autoLine="0" autoPict="0">
                <anchor moveWithCells="1">
                  <from>
                    <xdr:col>12</xdr:col>
                    <xdr:colOff>0</xdr:colOff>
                    <xdr:row>286</xdr:row>
                    <xdr:rowOff>28575</xdr:rowOff>
                  </from>
                  <to>
                    <xdr:col>12</xdr:col>
                    <xdr:colOff>0</xdr:colOff>
                    <xdr:row>286</xdr:row>
                    <xdr:rowOff>28575</xdr:rowOff>
                  </to>
                </anchor>
              </controlPr>
            </control>
          </mc:Choice>
        </mc:AlternateContent>
        <mc:AlternateContent xmlns:mc="http://schemas.openxmlformats.org/markup-compatibility/2006">
          <mc:Choice Requires="x14">
            <control shapeId="1659" r:id="rId271" name="Check Box 635">
              <controlPr defaultSize="0" autoFill="0" autoLine="0" autoPict="0">
                <anchor moveWithCells="1">
                  <from>
                    <xdr:col>12</xdr:col>
                    <xdr:colOff>0</xdr:colOff>
                    <xdr:row>287</xdr:row>
                    <xdr:rowOff>28575</xdr:rowOff>
                  </from>
                  <to>
                    <xdr:col>12</xdr:col>
                    <xdr:colOff>0</xdr:colOff>
                    <xdr:row>287</xdr:row>
                    <xdr:rowOff>28575</xdr:rowOff>
                  </to>
                </anchor>
              </controlPr>
            </control>
          </mc:Choice>
        </mc:AlternateContent>
        <mc:AlternateContent xmlns:mc="http://schemas.openxmlformats.org/markup-compatibility/2006">
          <mc:Choice Requires="x14">
            <control shapeId="1660" r:id="rId272" name="Check Box 636">
              <controlPr defaultSize="0" autoFill="0" autoLine="0" autoPict="0">
                <anchor moveWithCells="1">
                  <from>
                    <xdr:col>12</xdr:col>
                    <xdr:colOff>0</xdr:colOff>
                    <xdr:row>288</xdr:row>
                    <xdr:rowOff>28575</xdr:rowOff>
                  </from>
                  <to>
                    <xdr:col>12</xdr:col>
                    <xdr:colOff>0</xdr:colOff>
                    <xdr:row>288</xdr:row>
                    <xdr:rowOff>28575</xdr:rowOff>
                  </to>
                </anchor>
              </controlPr>
            </control>
          </mc:Choice>
        </mc:AlternateContent>
        <mc:AlternateContent xmlns:mc="http://schemas.openxmlformats.org/markup-compatibility/2006">
          <mc:Choice Requires="x14">
            <control shapeId="1661" r:id="rId273" name="Check Box 637">
              <controlPr defaultSize="0" autoFill="0" autoLine="0" autoPict="0">
                <anchor moveWithCells="1">
                  <from>
                    <xdr:col>12</xdr:col>
                    <xdr:colOff>0</xdr:colOff>
                    <xdr:row>289</xdr:row>
                    <xdr:rowOff>28575</xdr:rowOff>
                  </from>
                  <to>
                    <xdr:col>12</xdr:col>
                    <xdr:colOff>0</xdr:colOff>
                    <xdr:row>289</xdr:row>
                    <xdr:rowOff>28575</xdr:rowOff>
                  </to>
                </anchor>
              </controlPr>
            </control>
          </mc:Choice>
        </mc:AlternateContent>
        <mc:AlternateContent xmlns:mc="http://schemas.openxmlformats.org/markup-compatibility/2006">
          <mc:Choice Requires="x14">
            <control shapeId="1662" r:id="rId274" name="Check Box 638">
              <controlPr defaultSize="0" autoFill="0" autoLine="0" autoPict="0">
                <anchor moveWithCells="1">
                  <from>
                    <xdr:col>8</xdr:col>
                    <xdr:colOff>9525</xdr:colOff>
                    <xdr:row>300</xdr:row>
                    <xdr:rowOff>19050</xdr:rowOff>
                  </from>
                  <to>
                    <xdr:col>8</xdr:col>
                    <xdr:colOff>19050</xdr:colOff>
                    <xdr:row>301</xdr:row>
                    <xdr:rowOff>19050</xdr:rowOff>
                  </to>
                </anchor>
              </controlPr>
            </control>
          </mc:Choice>
        </mc:AlternateContent>
        <mc:AlternateContent xmlns:mc="http://schemas.openxmlformats.org/markup-compatibility/2006">
          <mc:Choice Requires="x14">
            <control shapeId="1663" r:id="rId275" name="Check Box 639">
              <controlPr defaultSize="0" autoFill="0" autoLine="0" autoPict="0">
                <anchor moveWithCells="1">
                  <from>
                    <xdr:col>8</xdr:col>
                    <xdr:colOff>9525</xdr:colOff>
                    <xdr:row>301</xdr:row>
                    <xdr:rowOff>19050</xdr:rowOff>
                  </from>
                  <to>
                    <xdr:col>8</xdr:col>
                    <xdr:colOff>19050</xdr:colOff>
                    <xdr:row>302</xdr:row>
                    <xdr:rowOff>19050</xdr:rowOff>
                  </to>
                </anchor>
              </controlPr>
            </control>
          </mc:Choice>
        </mc:AlternateContent>
        <mc:AlternateContent xmlns:mc="http://schemas.openxmlformats.org/markup-compatibility/2006">
          <mc:Choice Requires="x14">
            <control shapeId="1664" r:id="rId276" name="Check Box 640">
              <controlPr defaultSize="0" autoFill="0" autoLine="0" autoPict="0">
                <anchor moveWithCells="1">
                  <from>
                    <xdr:col>8</xdr:col>
                    <xdr:colOff>9525</xdr:colOff>
                    <xdr:row>302</xdr:row>
                    <xdr:rowOff>19050</xdr:rowOff>
                  </from>
                  <to>
                    <xdr:col>8</xdr:col>
                    <xdr:colOff>19050</xdr:colOff>
                    <xdr:row>303</xdr:row>
                    <xdr:rowOff>19050</xdr:rowOff>
                  </to>
                </anchor>
              </controlPr>
            </control>
          </mc:Choice>
        </mc:AlternateContent>
        <mc:AlternateContent xmlns:mc="http://schemas.openxmlformats.org/markup-compatibility/2006">
          <mc:Choice Requires="x14">
            <control shapeId="1665" r:id="rId277" name="Check Box 641">
              <controlPr defaultSize="0" autoFill="0" autoLine="0" autoPict="0">
                <anchor moveWithCells="1">
                  <from>
                    <xdr:col>8</xdr:col>
                    <xdr:colOff>9525</xdr:colOff>
                    <xdr:row>303</xdr:row>
                    <xdr:rowOff>19050</xdr:rowOff>
                  </from>
                  <to>
                    <xdr:col>8</xdr:col>
                    <xdr:colOff>19050</xdr:colOff>
                    <xdr:row>304</xdr:row>
                    <xdr:rowOff>19050</xdr:rowOff>
                  </to>
                </anchor>
              </controlPr>
            </control>
          </mc:Choice>
        </mc:AlternateContent>
        <mc:AlternateContent xmlns:mc="http://schemas.openxmlformats.org/markup-compatibility/2006">
          <mc:Choice Requires="x14">
            <control shapeId="1666" r:id="rId278" name="Check Box 642">
              <controlPr defaultSize="0" autoFill="0" autoLine="0" autoPict="0">
                <anchor moveWithCells="1">
                  <from>
                    <xdr:col>8</xdr:col>
                    <xdr:colOff>9525</xdr:colOff>
                    <xdr:row>304</xdr:row>
                    <xdr:rowOff>19050</xdr:rowOff>
                  </from>
                  <to>
                    <xdr:col>8</xdr:col>
                    <xdr:colOff>19050</xdr:colOff>
                    <xdr:row>305</xdr:row>
                    <xdr:rowOff>19050</xdr:rowOff>
                  </to>
                </anchor>
              </controlPr>
            </control>
          </mc:Choice>
        </mc:AlternateContent>
        <mc:AlternateContent xmlns:mc="http://schemas.openxmlformats.org/markup-compatibility/2006">
          <mc:Choice Requires="x14">
            <control shapeId="1667" r:id="rId279" name="Check Box 643">
              <controlPr defaultSize="0" autoFill="0" autoLine="0" autoPict="0">
                <anchor moveWithCells="1">
                  <from>
                    <xdr:col>8</xdr:col>
                    <xdr:colOff>9525</xdr:colOff>
                    <xdr:row>305</xdr:row>
                    <xdr:rowOff>19050</xdr:rowOff>
                  </from>
                  <to>
                    <xdr:col>8</xdr:col>
                    <xdr:colOff>19050</xdr:colOff>
                    <xdr:row>306</xdr:row>
                    <xdr:rowOff>19050</xdr:rowOff>
                  </to>
                </anchor>
              </controlPr>
            </control>
          </mc:Choice>
        </mc:AlternateContent>
        <mc:AlternateContent xmlns:mc="http://schemas.openxmlformats.org/markup-compatibility/2006">
          <mc:Choice Requires="x14">
            <control shapeId="1668" r:id="rId280" name="Check Box 644">
              <controlPr defaultSize="0" autoFill="0" autoLine="0" autoPict="0">
                <anchor moveWithCells="1">
                  <from>
                    <xdr:col>8</xdr:col>
                    <xdr:colOff>9525</xdr:colOff>
                    <xdr:row>306</xdr:row>
                    <xdr:rowOff>19050</xdr:rowOff>
                  </from>
                  <to>
                    <xdr:col>8</xdr:col>
                    <xdr:colOff>19050</xdr:colOff>
                    <xdr:row>307</xdr:row>
                    <xdr:rowOff>19050</xdr:rowOff>
                  </to>
                </anchor>
              </controlPr>
            </control>
          </mc:Choice>
        </mc:AlternateContent>
        <mc:AlternateContent xmlns:mc="http://schemas.openxmlformats.org/markup-compatibility/2006">
          <mc:Choice Requires="x14">
            <control shapeId="1669" r:id="rId281" name="Check Box 645">
              <controlPr defaultSize="0" autoFill="0" autoLine="0" autoPict="0">
                <anchor moveWithCells="1">
                  <from>
                    <xdr:col>8</xdr:col>
                    <xdr:colOff>9525</xdr:colOff>
                    <xdr:row>307</xdr:row>
                    <xdr:rowOff>19050</xdr:rowOff>
                  </from>
                  <to>
                    <xdr:col>8</xdr:col>
                    <xdr:colOff>19050</xdr:colOff>
                    <xdr:row>308</xdr:row>
                    <xdr:rowOff>19050</xdr:rowOff>
                  </to>
                </anchor>
              </controlPr>
            </control>
          </mc:Choice>
        </mc:AlternateContent>
        <mc:AlternateContent xmlns:mc="http://schemas.openxmlformats.org/markup-compatibility/2006">
          <mc:Choice Requires="x14">
            <control shapeId="1670" r:id="rId282" name="Check Box 646">
              <controlPr defaultSize="0" autoFill="0" autoLine="0" autoPict="0">
                <anchor moveWithCells="1">
                  <from>
                    <xdr:col>8</xdr:col>
                    <xdr:colOff>9525</xdr:colOff>
                    <xdr:row>308</xdr:row>
                    <xdr:rowOff>19050</xdr:rowOff>
                  </from>
                  <to>
                    <xdr:col>8</xdr:col>
                    <xdr:colOff>19050</xdr:colOff>
                    <xdr:row>309</xdr:row>
                    <xdr:rowOff>19050</xdr:rowOff>
                  </to>
                </anchor>
              </controlPr>
            </control>
          </mc:Choice>
        </mc:AlternateContent>
        <mc:AlternateContent xmlns:mc="http://schemas.openxmlformats.org/markup-compatibility/2006">
          <mc:Choice Requires="x14">
            <control shapeId="1671" r:id="rId283" name="Check Box 647">
              <controlPr defaultSize="0" autoFill="0" autoLine="0" autoPict="0">
                <anchor moveWithCells="1">
                  <from>
                    <xdr:col>8</xdr:col>
                    <xdr:colOff>9525</xdr:colOff>
                    <xdr:row>309</xdr:row>
                    <xdr:rowOff>19050</xdr:rowOff>
                  </from>
                  <to>
                    <xdr:col>8</xdr:col>
                    <xdr:colOff>19050</xdr:colOff>
                    <xdr:row>310</xdr:row>
                    <xdr:rowOff>19050</xdr:rowOff>
                  </to>
                </anchor>
              </controlPr>
            </control>
          </mc:Choice>
        </mc:AlternateContent>
        <mc:AlternateContent xmlns:mc="http://schemas.openxmlformats.org/markup-compatibility/2006">
          <mc:Choice Requires="x14">
            <control shapeId="1672" r:id="rId284" name="Check Box 648">
              <controlPr defaultSize="0" autoFill="0" autoLine="0" autoPict="0">
                <anchor moveWithCells="1">
                  <from>
                    <xdr:col>8</xdr:col>
                    <xdr:colOff>9525</xdr:colOff>
                    <xdr:row>310</xdr:row>
                    <xdr:rowOff>19050</xdr:rowOff>
                  </from>
                  <to>
                    <xdr:col>8</xdr:col>
                    <xdr:colOff>19050</xdr:colOff>
                    <xdr:row>311</xdr:row>
                    <xdr:rowOff>19050</xdr:rowOff>
                  </to>
                </anchor>
              </controlPr>
            </control>
          </mc:Choice>
        </mc:AlternateContent>
        <mc:AlternateContent xmlns:mc="http://schemas.openxmlformats.org/markup-compatibility/2006">
          <mc:Choice Requires="x14">
            <control shapeId="1673" r:id="rId285" name="Check Box 649">
              <controlPr defaultSize="0" autoFill="0" autoLine="0" autoPict="0">
                <anchor moveWithCells="1">
                  <from>
                    <xdr:col>8</xdr:col>
                    <xdr:colOff>9525</xdr:colOff>
                    <xdr:row>311</xdr:row>
                    <xdr:rowOff>19050</xdr:rowOff>
                  </from>
                  <to>
                    <xdr:col>8</xdr:col>
                    <xdr:colOff>19050</xdr:colOff>
                    <xdr:row>312</xdr:row>
                    <xdr:rowOff>19050</xdr:rowOff>
                  </to>
                </anchor>
              </controlPr>
            </control>
          </mc:Choice>
        </mc:AlternateContent>
        <mc:AlternateContent xmlns:mc="http://schemas.openxmlformats.org/markup-compatibility/2006">
          <mc:Choice Requires="x14">
            <control shapeId="1674" r:id="rId286" name="Check Box 650">
              <controlPr defaultSize="0" autoFill="0" autoLine="0" autoPict="0">
                <anchor moveWithCells="1">
                  <from>
                    <xdr:col>8</xdr:col>
                    <xdr:colOff>9525</xdr:colOff>
                    <xdr:row>312</xdr:row>
                    <xdr:rowOff>19050</xdr:rowOff>
                  </from>
                  <to>
                    <xdr:col>8</xdr:col>
                    <xdr:colOff>19050</xdr:colOff>
                    <xdr:row>313</xdr:row>
                    <xdr:rowOff>19050</xdr:rowOff>
                  </to>
                </anchor>
              </controlPr>
            </control>
          </mc:Choice>
        </mc:AlternateContent>
        <mc:AlternateContent xmlns:mc="http://schemas.openxmlformats.org/markup-compatibility/2006">
          <mc:Choice Requires="x14">
            <control shapeId="1675" r:id="rId287" name="Check Box 651">
              <controlPr defaultSize="0" autoFill="0" autoLine="0" autoPict="0">
                <anchor moveWithCells="1">
                  <from>
                    <xdr:col>8</xdr:col>
                    <xdr:colOff>9525</xdr:colOff>
                    <xdr:row>313</xdr:row>
                    <xdr:rowOff>19050</xdr:rowOff>
                  </from>
                  <to>
                    <xdr:col>8</xdr:col>
                    <xdr:colOff>19050</xdr:colOff>
                    <xdr:row>314</xdr:row>
                    <xdr:rowOff>19050</xdr:rowOff>
                  </to>
                </anchor>
              </controlPr>
            </control>
          </mc:Choice>
        </mc:AlternateContent>
        <mc:AlternateContent xmlns:mc="http://schemas.openxmlformats.org/markup-compatibility/2006">
          <mc:Choice Requires="x14">
            <control shapeId="1676" r:id="rId288" name="Check Box 652">
              <controlPr defaultSize="0" autoFill="0" autoLine="0" autoPict="0">
                <anchor moveWithCells="1">
                  <from>
                    <xdr:col>8</xdr:col>
                    <xdr:colOff>9525</xdr:colOff>
                    <xdr:row>314</xdr:row>
                    <xdr:rowOff>19050</xdr:rowOff>
                  </from>
                  <to>
                    <xdr:col>8</xdr:col>
                    <xdr:colOff>19050</xdr:colOff>
                    <xdr:row>315</xdr:row>
                    <xdr:rowOff>19050</xdr:rowOff>
                  </to>
                </anchor>
              </controlPr>
            </control>
          </mc:Choice>
        </mc:AlternateContent>
        <mc:AlternateContent xmlns:mc="http://schemas.openxmlformats.org/markup-compatibility/2006">
          <mc:Choice Requires="x14">
            <control shapeId="1677" r:id="rId289" name="Check Box 653">
              <controlPr defaultSize="0" autoFill="0" autoLine="0" autoPict="0">
                <anchor moveWithCells="1">
                  <from>
                    <xdr:col>8</xdr:col>
                    <xdr:colOff>9525</xdr:colOff>
                    <xdr:row>315</xdr:row>
                    <xdr:rowOff>19050</xdr:rowOff>
                  </from>
                  <to>
                    <xdr:col>8</xdr:col>
                    <xdr:colOff>19050</xdr:colOff>
                    <xdr:row>316</xdr:row>
                    <xdr:rowOff>19050</xdr:rowOff>
                  </to>
                </anchor>
              </controlPr>
            </control>
          </mc:Choice>
        </mc:AlternateContent>
        <mc:AlternateContent xmlns:mc="http://schemas.openxmlformats.org/markup-compatibility/2006">
          <mc:Choice Requires="x14">
            <control shapeId="1678" r:id="rId290" name="Check Box 654">
              <controlPr defaultSize="0" autoFill="0" autoLine="0" autoPict="0">
                <anchor moveWithCells="1">
                  <from>
                    <xdr:col>8</xdr:col>
                    <xdr:colOff>9525</xdr:colOff>
                    <xdr:row>316</xdr:row>
                    <xdr:rowOff>19050</xdr:rowOff>
                  </from>
                  <to>
                    <xdr:col>8</xdr:col>
                    <xdr:colOff>19050</xdr:colOff>
                    <xdr:row>317</xdr:row>
                    <xdr:rowOff>19050</xdr:rowOff>
                  </to>
                </anchor>
              </controlPr>
            </control>
          </mc:Choice>
        </mc:AlternateContent>
        <mc:AlternateContent xmlns:mc="http://schemas.openxmlformats.org/markup-compatibility/2006">
          <mc:Choice Requires="x14">
            <control shapeId="1679" r:id="rId291" name="Check Box 655">
              <controlPr defaultSize="0" autoFill="0" autoLine="0" autoPict="0">
                <anchor moveWithCells="1">
                  <from>
                    <xdr:col>8</xdr:col>
                    <xdr:colOff>9525</xdr:colOff>
                    <xdr:row>317</xdr:row>
                    <xdr:rowOff>19050</xdr:rowOff>
                  </from>
                  <to>
                    <xdr:col>8</xdr:col>
                    <xdr:colOff>19050</xdr:colOff>
                    <xdr:row>318</xdr:row>
                    <xdr:rowOff>19050</xdr:rowOff>
                  </to>
                </anchor>
              </controlPr>
            </control>
          </mc:Choice>
        </mc:AlternateContent>
        <mc:AlternateContent xmlns:mc="http://schemas.openxmlformats.org/markup-compatibility/2006">
          <mc:Choice Requires="x14">
            <control shapeId="1680" r:id="rId292" name="Check Box 656">
              <controlPr defaultSize="0" autoFill="0" autoLine="0" autoPict="0">
                <anchor moveWithCells="1">
                  <from>
                    <xdr:col>8</xdr:col>
                    <xdr:colOff>9525</xdr:colOff>
                    <xdr:row>318</xdr:row>
                    <xdr:rowOff>19050</xdr:rowOff>
                  </from>
                  <to>
                    <xdr:col>8</xdr:col>
                    <xdr:colOff>19050</xdr:colOff>
                    <xdr:row>320</xdr:row>
                    <xdr:rowOff>9525</xdr:rowOff>
                  </to>
                </anchor>
              </controlPr>
            </control>
          </mc:Choice>
        </mc:AlternateContent>
        <mc:AlternateContent xmlns:mc="http://schemas.openxmlformats.org/markup-compatibility/2006">
          <mc:Choice Requires="x14">
            <control shapeId="1681" r:id="rId293" name="Check Box 657">
              <controlPr defaultSize="0" autoFill="0" autoLine="0" autoPict="0">
                <anchor moveWithCells="1">
                  <from>
                    <xdr:col>12</xdr:col>
                    <xdr:colOff>0</xdr:colOff>
                    <xdr:row>358</xdr:row>
                    <xdr:rowOff>28575</xdr:rowOff>
                  </from>
                  <to>
                    <xdr:col>12</xdr:col>
                    <xdr:colOff>0</xdr:colOff>
                    <xdr:row>358</xdr:row>
                    <xdr:rowOff>28575</xdr:rowOff>
                  </to>
                </anchor>
              </controlPr>
            </control>
          </mc:Choice>
        </mc:AlternateContent>
        <mc:AlternateContent xmlns:mc="http://schemas.openxmlformats.org/markup-compatibility/2006">
          <mc:Choice Requires="x14">
            <control shapeId="1682" r:id="rId294" name="Check Box 658">
              <controlPr defaultSize="0" autoFill="0" autoLine="0" autoPict="0">
                <anchor moveWithCells="1">
                  <from>
                    <xdr:col>12</xdr:col>
                    <xdr:colOff>0</xdr:colOff>
                    <xdr:row>359</xdr:row>
                    <xdr:rowOff>28575</xdr:rowOff>
                  </from>
                  <to>
                    <xdr:col>12</xdr:col>
                    <xdr:colOff>0</xdr:colOff>
                    <xdr:row>359</xdr:row>
                    <xdr:rowOff>28575</xdr:rowOff>
                  </to>
                </anchor>
              </controlPr>
            </control>
          </mc:Choice>
        </mc:AlternateContent>
        <mc:AlternateContent xmlns:mc="http://schemas.openxmlformats.org/markup-compatibility/2006">
          <mc:Choice Requires="x14">
            <control shapeId="1683" r:id="rId295" name="Check Box 659">
              <controlPr defaultSize="0" autoFill="0" autoLine="0" autoPict="0">
                <anchor moveWithCells="1">
                  <from>
                    <xdr:col>12</xdr:col>
                    <xdr:colOff>0</xdr:colOff>
                    <xdr:row>360</xdr:row>
                    <xdr:rowOff>28575</xdr:rowOff>
                  </from>
                  <to>
                    <xdr:col>12</xdr:col>
                    <xdr:colOff>0</xdr:colOff>
                    <xdr:row>360</xdr:row>
                    <xdr:rowOff>28575</xdr:rowOff>
                  </to>
                </anchor>
              </controlPr>
            </control>
          </mc:Choice>
        </mc:AlternateContent>
        <mc:AlternateContent xmlns:mc="http://schemas.openxmlformats.org/markup-compatibility/2006">
          <mc:Choice Requires="x14">
            <control shapeId="1684" r:id="rId296" name="Check Box 660">
              <controlPr defaultSize="0" autoFill="0" autoLine="0" autoPict="0">
                <anchor moveWithCells="1">
                  <from>
                    <xdr:col>12</xdr:col>
                    <xdr:colOff>0</xdr:colOff>
                    <xdr:row>361</xdr:row>
                    <xdr:rowOff>28575</xdr:rowOff>
                  </from>
                  <to>
                    <xdr:col>12</xdr:col>
                    <xdr:colOff>0</xdr:colOff>
                    <xdr:row>361</xdr:row>
                    <xdr:rowOff>28575</xdr:rowOff>
                  </to>
                </anchor>
              </controlPr>
            </control>
          </mc:Choice>
        </mc:AlternateContent>
        <mc:AlternateContent xmlns:mc="http://schemas.openxmlformats.org/markup-compatibility/2006">
          <mc:Choice Requires="x14">
            <control shapeId="1685" r:id="rId297" name="Check Box 661">
              <controlPr defaultSize="0" autoFill="0" autoLine="0" autoPict="0">
                <anchor moveWithCells="1">
                  <from>
                    <xdr:col>12</xdr:col>
                    <xdr:colOff>0</xdr:colOff>
                    <xdr:row>362</xdr:row>
                    <xdr:rowOff>28575</xdr:rowOff>
                  </from>
                  <to>
                    <xdr:col>12</xdr:col>
                    <xdr:colOff>0</xdr:colOff>
                    <xdr:row>362</xdr:row>
                    <xdr:rowOff>28575</xdr:rowOff>
                  </to>
                </anchor>
              </controlPr>
            </control>
          </mc:Choice>
        </mc:AlternateContent>
        <mc:AlternateContent xmlns:mc="http://schemas.openxmlformats.org/markup-compatibility/2006">
          <mc:Choice Requires="x14">
            <control shapeId="1686" r:id="rId298" name="Check Box 662">
              <controlPr defaultSize="0" autoFill="0" autoLine="0" autoPict="0">
                <anchor moveWithCells="1">
                  <from>
                    <xdr:col>12</xdr:col>
                    <xdr:colOff>0</xdr:colOff>
                    <xdr:row>363</xdr:row>
                    <xdr:rowOff>28575</xdr:rowOff>
                  </from>
                  <to>
                    <xdr:col>12</xdr:col>
                    <xdr:colOff>0</xdr:colOff>
                    <xdr:row>363</xdr:row>
                    <xdr:rowOff>28575</xdr:rowOff>
                  </to>
                </anchor>
              </controlPr>
            </control>
          </mc:Choice>
        </mc:AlternateContent>
        <mc:AlternateContent xmlns:mc="http://schemas.openxmlformats.org/markup-compatibility/2006">
          <mc:Choice Requires="x14">
            <control shapeId="1687" r:id="rId299" name="Check Box 663">
              <controlPr defaultSize="0" autoFill="0" autoLine="0" autoPict="0">
                <anchor moveWithCells="1">
                  <from>
                    <xdr:col>12</xdr:col>
                    <xdr:colOff>0</xdr:colOff>
                    <xdr:row>364</xdr:row>
                    <xdr:rowOff>28575</xdr:rowOff>
                  </from>
                  <to>
                    <xdr:col>12</xdr:col>
                    <xdr:colOff>0</xdr:colOff>
                    <xdr:row>364</xdr:row>
                    <xdr:rowOff>28575</xdr:rowOff>
                  </to>
                </anchor>
              </controlPr>
            </control>
          </mc:Choice>
        </mc:AlternateContent>
        <mc:AlternateContent xmlns:mc="http://schemas.openxmlformats.org/markup-compatibility/2006">
          <mc:Choice Requires="x14">
            <control shapeId="1688" r:id="rId300" name="Check Box 664">
              <controlPr defaultSize="0" autoFill="0" autoLine="0" autoPict="0">
                <anchor moveWithCells="1">
                  <from>
                    <xdr:col>12</xdr:col>
                    <xdr:colOff>0</xdr:colOff>
                    <xdr:row>365</xdr:row>
                    <xdr:rowOff>28575</xdr:rowOff>
                  </from>
                  <to>
                    <xdr:col>12</xdr:col>
                    <xdr:colOff>0</xdr:colOff>
                    <xdr:row>365</xdr:row>
                    <xdr:rowOff>28575</xdr:rowOff>
                  </to>
                </anchor>
              </controlPr>
            </control>
          </mc:Choice>
        </mc:AlternateContent>
        <mc:AlternateContent xmlns:mc="http://schemas.openxmlformats.org/markup-compatibility/2006">
          <mc:Choice Requires="x14">
            <control shapeId="1689" r:id="rId301" name="Check Box 665">
              <controlPr defaultSize="0" autoFill="0" autoLine="0" autoPict="0">
                <anchor moveWithCells="1">
                  <from>
                    <xdr:col>12</xdr:col>
                    <xdr:colOff>0</xdr:colOff>
                    <xdr:row>366</xdr:row>
                    <xdr:rowOff>28575</xdr:rowOff>
                  </from>
                  <to>
                    <xdr:col>12</xdr:col>
                    <xdr:colOff>0</xdr:colOff>
                    <xdr:row>366</xdr:row>
                    <xdr:rowOff>28575</xdr:rowOff>
                  </to>
                </anchor>
              </controlPr>
            </control>
          </mc:Choice>
        </mc:AlternateContent>
        <mc:AlternateContent xmlns:mc="http://schemas.openxmlformats.org/markup-compatibility/2006">
          <mc:Choice Requires="x14">
            <control shapeId="1690" r:id="rId302" name="Check Box 666">
              <controlPr defaultSize="0" autoFill="0" autoLine="0" autoPict="0">
                <anchor moveWithCells="1">
                  <from>
                    <xdr:col>12</xdr:col>
                    <xdr:colOff>0</xdr:colOff>
                    <xdr:row>367</xdr:row>
                    <xdr:rowOff>28575</xdr:rowOff>
                  </from>
                  <to>
                    <xdr:col>12</xdr:col>
                    <xdr:colOff>0</xdr:colOff>
                    <xdr:row>367</xdr:row>
                    <xdr:rowOff>28575</xdr:rowOff>
                  </to>
                </anchor>
              </controlPr>
            </control>
          </mc:Choice>
        </mc:AlternateContent>
        <mc:AlternateContent xmlns:mc="http://schemas.openxmlformats.org/markup-compatibility/2006">
          <mc:Choice Requires="x14">
            <control shapeId="1691" r:id="rId303" name="Check Box 667">
              <controlPr defaultSize="0" autoFill="0" autoLine="0" autoPict="0">
                <anchor moveWithCells="1">
                  <from>
                    <xdr:col>12</xdr:col>
                    <xdr:colOff>0</xdr:colOff>
                    <xdr:row>368</xdr:row>
                    <xdr:rowOff>28575</xdr:rowOff>
                  </from>
                  <to>
                    <xdr:col>12</xdr:col>
                    <xdr:colOff>0</xdr:colOff>
                    <xdr:row>368</xdr:row>
                    <xdr:rowOff>28575</xdr:rowOff>
                  </to>
                </anchor>
              </controlPr>
            </control>
          </mc:Choice>
        </mc:AlternateContent>
        <mc:AlternateContent xmlns:mc="http://schemas.openxmlformats.org/markup-compatibility/2006">
          <mc:Choice Requires="x14">
            <control shapeId="1692" r:id="rId304" name="Check Box 668">
              <controlPr defaultSize="0" autoFill="0" autoLine="0" autoPict="0">
                <anchor moveWithCells="1">
                  <from>
                    <xdr:col>12</xdr:col>
                    <xdr:colOff>0</xdr:colOff>
                    <xdr:row>369</xdr:row>
                    <xdr:rowOff>28575</xdr:rowOff>
                  </from>
                  <to>
                    <xdr:col>12</xdr:col>
                    <xdr:colOff>0</xdr:colOff>
                    <xdr:row>369</xdr:row>
                    <xdr:rowOff>28575</xdr:rowOff>
                  </to>
                </anchor>
              </controlPr>
            </control>
          </mc:Choice>
        </mc:AlternateContent>
        <mc:AlternateContent xmlns:mc="http://schemas.openxmlformats.org/markup-compatibility/2006">
          <mc:Choice Requires="x14">
            <control shapeId="1693" r:id="rId305" name="Check Box 669">
              <controlPr defaultSize="0" autoFill="0" autoLine="0" autoPict="0">
                <anchor moveWithCells="1">
                  <from>
                    <xdr:col>12</xdr:col>
                    <xdr:colOff>0</xdr:colOff>
                    <xdr:row>370</xdr:row>
                    <xdr:rowOff>28575</xdr:rowOff>
                  </from>
                  <to>
                    <xdr:col>12</xdr:col>
                    <xdr:colOff>0</xdr:colOff>
                    <xdr:row>370</xdr:row>
                    <xdr:rowOff>28575</xdr:rowOff>
                  </to>
                </anchor>
              </controlPr>
            </control>
          </mc:Choice>
        </mc:AlternateContent>
        <mc:AlternateContent xmlns:mc="http://schemas.openxmlformats.org/markup-compatibility/2006">
          <mc:Choice Requires="x14">
            <control shapeId="1694" r:id="rId306" name="Check Box 670">
              <controlPr defaultSize="0" autoFill="0" autoLine="0" autoPict="0">
                <anchor moveWithCells="1">
                  <from>
                    <xdr:col>12</xdr:col>
                    <xdr:colOff>0</xdr:colOff>
                    <xdr:row>371</xdr:row>
                    <xdr:rowOff>28575</xdr:rowOff>
                  </from>
                  <to>
                    <xdr:col>12</xdr:col>
                    <xdr:colOff>0</xdr:colOff>
                    <xdr:row>371</xdr:row>
                    <xdr:rowOff>28575</xdr:rowOff>
                  </to>
                </anchor>
              </controlPr>
            </control>
          </mc:Choice>
        </mc:AlternateContent>
        <mc:AlternateContent xmlns:mc="http://schemas.openxmlformats.org/markup-compatibility/2006">
          <mc:Choice Requires="x14">
            <control shapeId="1695" r:id="rId307" name="Check Box 671">
              <controlPr defaultSize="0" autoFill="0" autoLine="0" autoPict="0">
                <anchor moveWithCells="1">
                  <from>
                    <xdr:col>12</xdr:col>
                    <xdr:colOff>0</xdr:colOff>
                    <xdr:row>372</xdr:row>
                    <xdr:rowOff>28575</xdr:rowOff>
                  </from>
                  <to>
                    <xdr:col>12</xdr:col>
                    <xdr:colOff>0</xdr:colOff>
                    <xdr:row>372</xdr:row>
                    <xdr:rowOff>28575</xdr:rowOff>
                  </to>
                </anchor>
              </controlPr>
            </control>
          </mc:Choice>
        </mc:AlternateContent>
        <mc:AlternateContent xmlns:mc="http://schemas.openxmlformats.org/markup-compatibility/2006">
          <mc:Choice Requires="x14">
            <control shapeId="1696" r:id="rId308" name="Check Box 672">
              <controlPr defaultSize="0" autoFill="0" autoLine="0" autoPict="0">
                <anchor moveWithCells="1">
                  <from>
                    <xdr:col>12</xdr:col>
                    <xdr:colOff>0</xdr:colOff>
                    <xdr:row>373</xdr:row>
                    <xdr:rowOff>28575</xdr:rowOff>
                  </from>
                  <to>
                    <xdr:col>12</xdr:col>
                    <xdr:colOff>0</xdr:colOff>
                    <xdr:row>373</xdr:row>
                    <xdr:rowOff>28575</xdr:rowOff>
                  </to>
                </anchor>
              </controlPr>
            </control>
          </mc:Choice>
        </mc:AlternateContent>
        <mc:AlternateContent xmlns:mc="http://schemas.openxmlformats.org/markup-compatibility/2006">
          <mc:Choice Requires="x14">
            <control shapeId="1697" r:id="rId309" name="Check Box 673">
              <controlPr defaultSize="0" autoFill="0" autoLine="0" autoPict="0">
                <anchor moveWithCells="1">
                  <from>
                    <xdr:col>12</xdr:col>
                    <xdr:colOff>0</xdr:colOff>
                    <xdr:row>374</xdr:row>
                    <xdr:rowOff>28575</xdr:rowOff>
                  </from>
                  <to>
                    <xdr:col>12</xdr:col>
                    <xdr:colOff>0</xdr:colOff>
                    <xdr:row>374</xdr:row>
                    <xdr:rowOff>28575</xdr:rowOff>
                  </to>
                </anchor>
              </controlPr>
            </control>
          </mc:Choice>
        </mc:AlternateContent>
        <mc:AlternateContent xmlns:mc="http://schemas.openxmlformats.org/markup-compatibility/2006">
          <mc:Choice Requires="x14">
            <control shapeId="1698" r:id="rId310" name="Check Box 674">
              <controlPr defaultSize="0" autoFill="0" autoLine="0" autoPict="0">
                <anchor moveWithCells="1">
                  <from>
                    <xdr:col>12</xdr:col>
                    <xdr:colOff>0</xdr:colOff>
                    <xdr:row>375</xdr:row>
                    <xdr:rowOff>28575</xdr:rowOff>
                  </from>
                  <to>
                    <xdr:col>12</xdr:col>
                    <xdr:colOff>0</xdr:colOff>
                    <xdr:row>375</xdr:row>
                    <xdr:rowOff>28575</xdr:rowOff>
                  </to>
                </anchor>
              </controlPr>
            </control>
          </mc:Choice>
        </mc:AlternateContent>
        <mc:AlternateContent xmlns:mc="http://schemas.openxmlformats.org/markup-compatibility/2006">
          <mc:Choice Requires="x14">
            <control shapeId="1699" r:id="rId311" name="Check Box 675">
              <controlPr defaultSize="0" autoFill="0" autoLine="0" autoPict="0">
                <anchor moveWithCells="1">
                  <from>
                    <xdr:col>12</xdr:col>
                    <xdr:colOff>0</xdr:colOff>
                    <xdr:row>376</xdr:row>
                    <xdr:rowOff>28575</xdr:rowOff>
                  </from>
                  <to>
                    <xdr:col>12</xdr:col>
                    <xdr:colOff>0</xdr:colOff>
                    <xdr:row>376</xdr:row>
                    <xdr:rowOff>28575</xdr:rowOff>
                  </to>
                </anchor>
              </controlPr>
            </control>
          </mc:Choice>
        </mc:AlternateContent>
        <mc:AlternateContent xmlns:mc="http://schemas.openxmlformats.org/markup-compatibility/2006">
          <mc:Choice Requires="x14">
            <control shapeId="1700" r:id="rId312" name="Check Box 676">
              <controlPr defaultSize="0" autoFill="0" autoLine="0" autoPict="0">
                <anchor moveWithCells="1">
                  <from>
                    <xdr:col>21</xdr:col>
                    <xdr:colOff>38100</xdr:colOff>
                    <xdr:row>5</xdr:row>
                    <xdr:rowOff>19050</xdr:rowOff>
                  </from>
                  <to>
                    <xdr:col>22</xdr:col>
                    <xdr:colOff>57150</xdr:colOff>
                    <xdr:row>5</xdr:row>
                    <xdr:rowOff>209550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61" operator="containsText" id="{CDB854FF-0731-41C1-BEAF-7A928F5A6BA9}">
            <xm:f>NOT(ISERROR(SEARCH($AL$3,Y88)))</xm:f>
            <xm:f>$AL$3</xm:f>
            <x14:dxf>
              <font>
                <b/>
                <i val="0"/>
              </font>
            </x14:dxf>
          </x14:cfRule>
          <x14:cfRule type="containsText" priority="62" operator="containsText" id="{424F6462-DC25-4202-8661-B0A0AE1C5764}">
            <xm:f>NOT(ISERROR(SEARCH($AL$2,Y88)))</xm:f>
            <xm:f>$AL$2</xm:f>
            <x14:dxf>
              <font>
                <b/>
                <i val="0"/>
              </font>
            </x14:dxf>
          </x14:cfRule>
          <xm:sqref>Y88</xm:sqref>
        </x14:conditionalFormatting>
        <x14:conditionalFormatting xmlns:xm="http://schemas.microsoft.com/office/excel/2006/main">
          <x14:cfRule type="containsText" priority="63" operator="containsText" id="{7F265504-8FD3-4843-B2DA-0C6FE29DF34C}">
            <xm:f>NOT(ISERROR(SEARCH($AL$5,Z88)))</xm:f>
            <xm:f>$AL$5</xm:f>
            <x14:dxf>
              <font>
                <b/>
                <i val="0"/>
                <color rgb="FFFF0000"/>
              </font>
            </x14:dxf>
          </x14:cfRule>
          <x14:cfRule type="containsText" priority="64" operator="containsText" id="{A990C9C3-9087-4041-A56A-51DEA5E2C385}">
            <xm:f>NOT(ISERROR(SEARCH($AL$4,Z88)))</xm:f>
            <xm:f>$AL$4</xm:f>
            <x14:dxf>
              <font>
                <b/>
                <i val="0"/>
                <color rgb="FF46DA5F"/>
              </font>
            </x14:dxf>
          </x14:cfRule>
          <xm:sqref>Z88</xm:sqref>
        </x14:conditionalFormatting>
        <x14:conditionalFormatting xmlns:xm="http://schemas.microsoft.com/office/excel/2006/main">
          <x14:cfRule type="containsText" priority="37" operator="containsText" id="{17DD9238-5E1C-473E-9EA5-70D87E8C535E}">
            <xm:f>NOT(ISERROR(SEARCH('Eid List Entry'!$K$6,Z9)))</xm:f>
            <xm:f>'Eid List Entry'!$K$6</xm:f>
            <x14:dxf>
              <font>
                <b/>
                <i val="0"/>
                <color rgb="FFFF0000"/>
              </font>
            </x14:dxf>
          </x14:cfRule>
          <x14:cfRule type="containsText" priority="38" operator="containsText" id="{2B4A257A-7FD8-408B-B4E6-D7FCDA755D02}">
            <xm:f>NOT(ISERROR(SEARCH('Eid List Entry'!$K$5,Z9)))</xm:f>
            <xm:f>'Eid List Entry'!$K$5</xm:f>
            <x14:dxf>
              <font>
                <b/>
                <i val="0"/>
                <color rgb="FF46DA5F"/>
              </font>
            </x14:dxf>
          </x14:cfRule>
          <xm:sqref>Z9:Z19</xm:sqref>
        </x14:conditionalFormatting>
        <x14:conditionalFormatting xmlns:xm="http://schemas.microsoft.com/office/excel/2006/main">
          <x14:cfRule type="containsText" priority="35" operator="containsText" id="{5ED3E7F9-531D-4DCA-94A9-670F295636DD}">
            <xm:f>NOT(ISERROR(SEARCH('Eid List Entry'!$K$6,Z39)))</xm:f>
            <xm:f>'Eid List Entry'!$K$6</xm:f>
            <x14:dxf>
              <font>
                <b/>
                <i val="0"/>
                <color rgb="FFFF0000"/>
              </font>
            </x14:dxf>
          </x14:cfRule>
          <x14:cfRule type="containsText" priority="36" operator="containsText" id="{FFF3640A-605D-4C0F-9E13-6340563A74E9}">
            <xm:f>NOT(ISERROR(SEARCH('Eid List Entry'!$K$5,Z39)))</xm:f>
            <xm:f>'Eid List Entry'!$K$5</xm:f>
            <x14:dxf>
              <font>
                <b/>
                <i val="0"/>
                <color rgb="FF46DA5F"/>
              </font>
            </x14:dxf>
          </x14:cfRule>
          <xm:sqref>Z39:Z58</xm:sqref>
        </x14:conditionalFormatting>
        <x14:conditionalFormatting xmlns:xm="http://schemas.microsoft.com/office/excel/2006/main">
          <x14:cfRule type="containsText" priority="33" operator="containsText" id="{EEEC4DDC-3392-4D00-9E3A-D58CA7E8D04A}">
            <xm:f>NOT(ISERROR(SEARCH('Eid List Entry'!$K$6,Z68)))</xm:f>
            <xm:f>'Eid List Entry'!$K$6</xm:f>
            <x14:dxf>
              <font>
                <b/>
                <i val="0"/>
                <color rgb="FFFF0000"/>
              </font>
            </x14:dxf>
          </x14:cfRule>
          <x14:cfRule type="containsText" priority="34" operator="containsText" id="{047C04A9-D39A-43F2-9A67-ED979F9C6655}">
            <xm:f>NOT(ISERROR(SEARCH('Eid List Entry'!$K$5,Z68)))</xm:f>
            <xm:f>'Eid List Entry'!$K$5</xm:f>
            <x14:dxf>
              <font>
                <b/>
                <i val="0"/>
                <color rgb="FF46DA5F"/>
              </font>
            </x14:dxf>
          </x14:cfRule>
          <xm:sqref>Z68:Z87</xm:sqref>
        </x14:conditionalFormatting>
        <x14:conditionalFormatting xmlns:xm="http://schemas.microsoft.com/office/excel/2006/main">
          <x14:cfRule type="containsText" priority="31" operator="containsText" id="{660142EA-C5F9-4EC6-9D8F-1B36B52499D1}">
            <xm:f>NOT(ISERROR(SEARCH('Eid List Entry'!$K$6,Z97)))</xm:f>
            <xm:f>'Eid List Entry'!$K$6</xm:f>
            <x14:dxf>
              <font>
                <b/>
                <i val="0"/>
                <color rgb="FFFF0000"/>
              </font>
            </x14:dxf>
          </x14:cfRule>
          <x14:cfRule type="containsText" priority="32" operator="containsText" id="{595681ED-A0DE-477B-BDB7-4B6D7981D088}">
            <xm:f>NOT(ISERROR(SEARCH('Eid List Entry'!$K$5,Z97)))</xm:f>
            <xm:f>'Eid List Entry'!$K$5</xm:f>
            <x14:dxf>
              <font>
                <b/>
                <i val="0"/>
                <color rgb="FF46DA5F"/>
              </font>
            </x14:dxf>
          </x14:cfRule>
          <xm:sqref>Z97:Z116</xm:sqref>
        </x14:conditionalFormatting>
        <x14:conditionalFormatting xmlns:xm="http://schemas.microsoft.com/office/excel/2006/main">
          <x14:cfRule type="containsText" priority="27" operator="containsText" id="{76DFD156-32C7-439D-9DAD-2C93FD0CCC03}">
            <xm:f>NOT(ISERROR(SEARCH($AL$3,Y175)))</xm:f>
            <xm:f>$AL$3</xm:f>
            <x14:dxf>
              <font>
                <b/>
                <i val="0"/>
              </font>
            </x14:dxf>
          </x14:cfRule>
          <x14:cfRule type="containsText" priority="28" operator="containsText" id="{040EB52D-9547-4DC6-883C-A229EFCA1AED}">
            <xm:f>NOT(ISERROR(SEARCH($AL$2,Y175)))</xm:f>
            <xm:f>$AL$2</xm:f>
            <x14:dxf>
              <font>
                <b/>
                <i val="0"/>
              </font>
            </x14:dxf>
          </x14:cfRule>
          <xm:sqref>Y175</xm:sqref>
        </x14:conditionalFormatting>
        <x14:conditionalFormatting xmlns:xm="http://schemas.microsoft.com/office/excel/2006/main">
          <x14:cfRule type="containsText" priority="29" operator="containsText" id="{09300509-EED6-4237-B803-6A392BE21197}">
            <xm:f>NOT(ISERROR(SEARCH($AL$5,Z175)))</xm:f>
            <xm:f>$AL$5</xm:f>
            <x14:dxf>
              <font>
                <b/>
                <i val="0"/>
                <color rgb="FFFF0000"/>
              </font>
            </x14:dxf>
          </x14:cfRule>
          <x14:cfRule type="containsText" priority="30" operator="containsText" id="{954A2038-2D2A-4BB2-8B62-CA76DBACBBF8}">
            <xm:f>NOT(ISERROR(SEARCH($AL$4,Z175)))</xm:f>
            <xm:f>$AL$4</xm:f>
            <x14:dxf>
              <font>
                <b/>
                <i val="0"/>
                <color rgb="FF46DA5F"/>
              </font>
            </x14:dxf>
          </x14:cfRule>
          <xm:sqref>Z175</xm:sqref>
        </x14:conditionalFormatting>
        <x14:conditionalFormatting xmlns:xm="http://schemas.microsoft.com/office/excel/2006/main">
          <x14:cfRule type="containsText" priority="25" operator="containsText" id="{7DC46B75-2024-4BB0-BAE2-0EB27293A007}">
            <xm:f>NOT(ISERROR(SEARCH('Eid List Entry'!$K$6,Z126)))</xm:f>
            <xm:f>'Eid List Entry'!$K$6</xm:f>
            <x14:dxf>
              <font>
                <b/>
                <i val="0"/>
                <color rgb="FFFF0000"/>
              </font>
            </x14:dxf>
          </x14:cfRule>
          <x14:cfRule type="containsText" priority="26" operator="containsText" id="{F24BA0D0-D653-4777-A508-E892CA9B3642}">
            <xm:f>NOT(ISERROR(SEARCH('Eid List Entry'!$K$5,Z126)))</xm:f>
            <xm:f>'Eid List Entry'!$K$5</xm:f>
            <x14:dxf>
              <font>
                <b/>
                <i val="0"/>
                <color rgb="FF46DA5F"/>
              </font>
            </x14:dxf>
          </x14:cfRule>
          <xm:sqref>Z126:Z145</xm:sqref>
        </x14:conditionalFormatting>
        <x14:conditionalFormatting xmlns:xm="http://schemas.microsoft.com/office/excel/2006/main">
          <x14:cfRule type="containsText" priority="23" operator="containsText" id="{2AED74D2-6F38-4096-93F0-B8FF40B136C3}">
            <xm:f>NOT(ISERROR(SEARCH('Eid List Entry'!$K$6,Z155)))</xm:f>
            <xm:f>'Eid List Entry'!$K$6</xm:f>
            <x14:dxf>
              <font>
                <b/>
                <i val="0"/>
                <color rgb="FFFF0000"/>
              </font>
            </x14:dxf>
          </x14:cfRule>
          <x14:cfRule type="containsText" priority="24" operator="containsText" id="{2242E7FE-344F-4D9E-B040-E345654F8F71}">
            <xm:f>NOT(ISERROR(SEARCH('Eid List Entry'!$K$5,Z155)))</xm:f>
            <xm:f>'Eid List Entry'!$K$5</xm:f>
            <x14:dxf>
              <font>
                <b/>
                <i val="0"/>
                <color rgb="FF46DA5F"/>
              </font>
            </x14:dxf>
          </x14:cfRule>
          <xm:sqref>Z155:Z174</xm:sqref>
        </x14:conditionalFormatting>
        <x14:conditionalFormatting xmlns:xm="http://schemas.microsoft.com/office/excel/2006/main">
          <x14:cfRule type="containsText" priority="21" operator="containsText" id="{ECF20B2A-385D-4732-8793-D8B6D85F6155}">
            <xm:f>NOT(ISERROR(SEARCH('Eid List Entry'!$K$6,Z184)))</xm:f>
            <xm:f>'Eid List Entry'!$K$6</xm:f>
            <x14:dxf>
              <font>
                <b/>
                <i val="0"/>
                <color rgb="FFFF0000"/>
              </font>
            </x14:dxf>
          </x14:cfRule>
          <x14:cfRule type="containsText" priority="22" operator="containsText" id="{EF3B90C5-20F3-42BF-817E-1739B31BFFC7}">
            <xm:f>NOT(ISERROR(SEARCH('Eid List Entry'!$K$5,Z184)))</xm:f>
            <xm:f>'Eid List Entry'!$K$5</xm:f>
            <x14:dxf>
              <font>
                <b/>
                <i val="0"/>
                <color rgb="FF46DA5F"/>
              </font>
            </x14:dxf>
          </x14:cfRule>
          <xm:sqref>Z184:Z203</xm:sqref>
        </x14:conditionalFormatting>
        <x14:conditionalFormatting xmlns:xm="http://schemas.microsoft.com/office/excel/2006/main">
          <x14:cfRule type="containsText" priority="17" operator="containsText" id="{1D1CD652-6C50-4CD2-8471-38303E5924CE}">
            <xm:f>NOT(ISERROR(SEARCH($AL$3,Y262)))</xm:f>
            <xm:f>$AL$3</xm:f>
            <x14:dxf>
              <font>
                <b/>
                <i val="0"/>
              </font>
            </x14:dxf>
          </x14:cfRule>
          <x14:cfRule type="containsText" priority="18" operator="containsText" id="{FA674DEE-B573-4B0C-98D7-E4A839AC5A91}">
            <xm:f>NOT(ISERROR(SEARCH($AL$2,Y262)))</xm:f>
            <xm:f>$AL$2</xm:f>
            <x14:dxf>
              <font>
                <b/>
                <i val="0"/>
              </font>
            </x14:dxf>
          </x14:cfRule>
          <xm:sqref>Y262</xm:sqref>
        </x14:conditionalFormatting>
        <x14:conditionalFormatting xmlns:xm="http://schemas.microsoft.com/office/excel/2006/main">
          <x14:cfRule type="containsText" priority="19" operator="containsText" id="{C49C2373-DAB1-46D3-9B50-4929F1614AF6}">
            <xm:f>NOT(ISERROR(SEARCH($AL$5,Z262)))</xm:f>
            <xm:f>$AL$5</xm:f>
            <x14:dxf>
              <font>
                <b/>
                <i val="0"/>
                <color rgb="FFFF0000"/>
              </font>
            </x14:dxf>
          </x14:cfRule>
          <x14:cfRule type="containsText" priority="20" operator="containsText" id="{F4B41A0C-4D54-4B0B-A399-33B74663D9D4}">
            <xm:f>NOT(ISERROR(SEARCH($AL$4,Z262)))</xm:f>
            <xm:f>$AL$4</xm:f>
            <x14:dxf>
              <font>
                <b/>
                <i val="0"/>
                <color rgb="FF46DA5F"/>
              </font>
            </x14:dxf>
          </x14:cfRule>
          <xm:sqref>Z262</xm:sqref>
        </x14:conditionalFormatting>
        <x14:conditionalFormatting xmlns:xm="http://schemas.microsoft.com/office/excel/2006/main">
          <x14:cfRule type="containsText" priority="15" operator="containsText" id="{02A00E13-833F-447F-B7D3-EBF95EDBD14A}">
            <xm:f>NOT(ISERROR(SEARCH('Eid List Entry'!$K$6,Z213)))</xm:f>
            <xm:f>'Eid List Entry'!$K$6</xm:f>
            <x14:dxf>
              <font>
                <b/>
                <i val="0"/>
                <color rgb="FFFF0000"/>
              </font>
            </x14:dxf>
          </x14:cfRule>
          <x14:cfRule type="containsText" priority="16" operator="containsText" id="{5119604A-7F97-4785-ABE4-66F8A6D536AD}">
            <xm:f>NOT(ISERROR(SEARCH('Eid List Entry'!$K$5,Z213)))</xm:f>
            <xm:f>'Eid List Entry'!$K$5</xm:f>
            <x14:dxf>
              <font>
                <b/>
                <i val="0"/>
                <color rgb="FF46DA5F"/>
              </font>
            </x14:dxf>
          </x14:cfRule>
          <xm:sqref>Z213:Z232</xm:sqref>
        </x14:conditionalFormatting>
        <x14:conditionalFormatting xmlns:xm="http://schemas.microsoft.com/office/excel/2006/main">
          <x14:cfRule type="containsText" priority="13" operator="containsText" id="{942DB882-B544-4006-8BA4-3D59C31CC770}">
            <xm:f>NOT(ISERROR(SEARCH('Eid List Entry'!$K$6,Z242)))</xm:f>
            <xm:f>'Eid List Entry'!$K$6</xm:f>
            <x14:dxf>
              <font>
                <b/>
                <i val="0"/>
                <color rgb="FFFF0000"/>
              </font>
            </x14:dxf>
          </x14:cfRule>
          <x14:cfRule type="containsText" priority="14" operator="containsText" id="{1B94D0FF-AADD-4E59-A372-09CEC7B0BCF1}">
            <xm:f>NOT(ISERROR(SEARCH('Eid List Entry'!$K$5,Z242)))</xm:f>
            <xm:f>'Eid List Entry'!$K$5</xm:f>
            <x14:dxf>
              <font>
                <b/>
                <i val="0"/>
                <color rgb="FF46DA5F"/>
              </font>
            </x14:dxf>
          </x14:cfRule>
          <xm:sqref>Z242:Z261</xm:sqref>
        </x14:conditionalFormatting>
        <x14:conditionalFormatting xmlns:xm="http://schemas.microsoft.com/office/excel/2006/main">
          <x14:cfRule type="containsText" priority="11" operator="containsText" id="{1FA8D5A2-209F-4A19-9D15-0D7451612266}">
            <xm:f>NOT(ISERROR(SEARCH('Eid List Entry'!$K$6,Z271)))</xm:f>
            <xm:f>'Eid List Entry'!$K$6</xm:f>
            <x14:dxf>
              <font>
                <b/>
                <i val="0"/>
                <color rgb="FFFF0000"/>
              </font>
            </x14:dxf>
          </x14:cfRule>
          <x14:cfRule type="containsText" priority="12" operator="containsText" id="{99AD4AB8-5958-4DEF-9E5C-1E31E044AD65}">
            <xm:f>NOT(ISERROR(SEARCH('Eid List Entry'!$K$5,Z271)))</xm:f>
            <xm:f>'Eid List Entry'!$K$5</xm:f>
            <x14:dxf>
              <font>
                <b/>
                <i val="0"/>
                <color rgb="FF46DA5F"/>
              </font>
            </x14:dxf>
          </x14:cfRule>
          <xm:sqref>Z271:Z290</xm:sqref>
        </x14:conditionalFormatting>
        <x14:conditionalFormatting xmlns:xm="http://schemas.microsoft.com/office/excel/2006/main">
          <x14:cfRule type="containsText" priority="7" operator="containsText" id="{A55D9CBA-9296-4559-A514-850814609AC0}">
            <xm:f>NOT(ISERROR(SEARCH($AL$3,Y349)))</xm:f>
            <xm:f>$AL$3</xm:f>
            <x14:dxf>
              <font>
                <b/>
                <i val="0"/>
              </font>
            </x14:dxf>
          </x14:cfRule>
          <x14:cfRule type="containsText" priority="8" operator="containsText" id="{37A29FA4-3929-4FF5-9153-37277DE190EB}">
            <xm:f>NOT(ISERROR(SEARCH($AL$2,Y349)))</xm:f>
            <xm:f>$AL$2</xm:f>
            <x14:dxf>
              <font>
                <b/>
                <i val="0"/>
              </font>
            </x14:dxf>
          </x14:cfRule>
          <xm:sqref>Y349</xm:sqref>
        </x14:conditionalFormatting>
        <x14:conditionalFormatting xmlns:xm="http://schemas.microsoft.com/office/excel/2006/main">
          <x14:cfRule type="containsText" priority="5" operator="containsText" id="{0FE4FA91-1386-4D36-A40D-BF0C03766F79}">
            <xm:f>NOT(ISERROR(SEARCH('Eid List Entry'!$K$6,Z300)))</xm:f>
            <xm:f>'Eid List Entry'!$K$6</xm:f>
            <x14:dxf>
              <font>
                <b/>
                <i val="0"/>
                <color rgb="FFFF0000"/>
              </font>
            </x14:dxf>
          </x14:cfRule>
          <x14:cfRule type="containsText" priority="6" operator="containsText" id="{100D696B-4574-4203-AA31-1E66943875F0}">
            <xm:f>NOT(ISERROR(SEARCH('Eid List Entry'!$K$5,Z300)))</xm:f>
            <xm:f>'Eid List Entry'!$K$5</xm:f>
            <x14:dxf>
              <font>
                <b/>
                <i val="0"/>
                <color rgb="FF46DA5F"/>
              </font>
            </x14:dxf>
          </x14:cfRule>
          <xm:sqref>Z300:Z319</xm:sqref>
        </x14:conditionalFormatting>
        <x14:conditionalFormatting xmlns:xm="http://schemas.microsoft.com/office/excel/2006/main">
          <x14:cfRule type="containsText" priority="3" operator="containsText" id="{4C244667-CA7A-494F-BDD5-73ED23932B86}">
            <xm:f>NOT(ISERROR(SEARCH('Eid List Entry'!$K$6,Z329)))</xm:f>
            <xm:f>'Eid List Entry'!$K$6</xm:f>
            <x14:dxf>
              <font>
                <b/>
                <i val="0"/>
                <color rgb="FFFF0000"/>
              </font>
            </x14:dxf>
          </x14:cfRule>
          <x14:cfRule type="containsText" priority="4" operator="containsText" id="{B139E720-66CA-4BF4-BC4E-C2D70D047718}">
            <xm:f>NOT(ISERROR(SEARCH('Eid List Entry'!$K$5,Z329)))</xm:f>
            <xm:f>'Eid List Entry'!$K$5</xm:f>
            <x14:dxf>
              <font>
                <b/>
                <i val="0"/>
                <color rgb="FF46DA5F"/>
              </font>
            </x14:dxf>
          </x14:cfRule>
          <xm:sqref>Z329:Z349</xm:sqref>
        </x14:conditionalFormatting>
        <x14:conditionalFormatting xmlns:xm="http://schemas.microsoft.com/office/excel/2006/main">
          <x14:cfRule type="containsText" priority="1" operator="containsText" id="{1E08AAC9-2934-4FA8-BBA0-00D7616AD8C1}">
            <xm:f>NOT(ISERROR(SEARCH('Eid List Entry'!$K$6,Z358)))</xm:f>
            <xm:f>'Eid List Entry'!$K$6</xm:f>
            <x14:dxf>
              <font>
                <b/>
                <i val="0"/>
                <color rgb="FFFF0000"/>
              </font>
            </x14:dxf>
          </x14:cfRule>
          <x14:cfRule type="containsText" priority="2" operator="containsText" id="{14B059F5-4040-4977-9524-3FF6815F8376}">
            <xm:f>NOT(ISERROR(SEARCH('Eid List Entry'!$K$5,Z358)))</xm:f>
            <xm:f>'Eid List Entry'!$K$5</xm:f>
            <x14:dxf>
              <font>
                <b/>
                <i val="0"/>
                <color rgb="FF46DA5F"/>
              </font>
            </x14:dxf>
          </x14:cfRule>
          <xm:sqref>Z358:Z377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pageSetUpPr fitToPage="1"/>
  </sheetPr>
  <dimension ref="A1:L220"/>
  <sheetViews>
    <sheetView showZeros="0" zoomScale="85" zoomScaleNormal="85" workbookViewId="0">
      <selection activeCell="R5" sqref="R5"/>
    </sheetView>
  </sheetViews>
  <sheetFormatPr defaultRowHeight="15" x14ac:dyDescent="0.25"/>
  <cols>
    <col min="2" max="2" width="4.28515625" customWidth="1"/>
    <col min="4" max="4" width="14.5703125" style="57" customWidth="1"/>
    <col min="5" max="5" width="10.28515625" style="60" customWidth="1"/>
    <col min="6" max="6" width="7.5703125" customWidth="1"/>
    <col min="8" max="8" width="4.5703125" customWidth="1"/>
    <col min="10" max="10" width="13.7109375" style="57" customWidth="1"/>
    <col min="11" max="11" width="11.85546875" style="60" customWidth="1"/>
  </cols>
  <sheetData>
    <row r="1" spans="1:11" ht="25.5" x14ac:dyDescent="0.25">
      <c r="A1" s="4" t="s">
        <v>63</v>
      </c>
      <c r="B1" s="329" t="s">
        <v>8</v>
      </c>
      <c r="C1" s="329"/>
      <c r="D1" s="329"/>
      <c r="E1" s="329"/>
      <c r="G1" s="4">
        <v>1</v>
      </c>
      <c r="H1" s="329">
        <f>'EID List'!Z9</f>
        <v>0</v>
      </c>
      <c r="I1" s="329"/>
      <c r="J1" s="329"/>
      <c r="K1" s="329"/>
    </row>
    <row r="2" spans="1:11" ht="22.5" x14ac:dyDescent="0.25">
      <c r="A2" s="330" t="s">
        <v>6</v>
      </c>
      <c r="B2" s="330"/>
      <c r="C2" s="331" t="s">
        <v>64</v>
      </c>
      <c r="D2" s="331"/>
      <c r="E2" s="331"/>
      <c r="G2" s="332" t="s">
        <v>6</v>
      </c>
      <c r="H2" s="333"/>
      <c r="I2" s="334">
        <f>'EID List'!C9</f>
        <v>0</v>
      </c>
      <c r="J2" s="334"/>
      <c r="K2" s="334"/>
    </row>
    <row r="3" spans="1:11" ht="22.5" x14ac:dyDescent="0.3">
      <c r="A3" s="326" t="s">
        <v>42</v>
      </c>
      <c r="B3" s="326"/>
      <c r="C3" s="328">
        <f>'EID List'!$L$3</f>
        <v>0</v>
      </c>
      <c r="D3" s="328"/>
      <c r="E3" s="328"/>
      <c r="G3" s="6" t="s">
        <v>42</v>
      </c>
      <c r="H3" s="5"/>
      <c r="I3" s="328">
        <f>'EID List'!$L$3</f>
        <v>0</v>
      </c>
      <c r="J3" s="328"/>
      <c r="K3" s="328"/>
    </row>
    <row r="4" spans="1:11" ht="22.5" x14ac:dyDescent="0.3">
      <c r="A4" s="326" t="s">
        <v>40</v>
      </c>
      <c r="B4" s="326"/>
      <c r="C4" s="328">
        <f>'EID List'!$F$4</f>
        <v>0</v>
      </c>
      <c r="D4" s="328"/>
      <c r="E4" s="328"/>
      <c r="G4" s="326" t="s">
        <v>41</v>
      </c>
      <c r="H4" s="326"/>
      <c r="I4" s="328">
        <f>'EID List'!$F$4</f>
        <v>0</v>
      </c>
      <c r="J4" s="328"/>
      <c r="K4" s="328"/>
    </row>
    <row r="5" spans="1:11" ht="23.25" thickBot="1" x14ac:dyDescent="0.35">
      <c r="A5" s="3" t="s">
        <v>0</v>
      </c>
      <c r="B5" s="327">
        <f ca="1">TODAY()</f>
        <v>44621</v>
      </c>
      <c r="C5" s="327"/>
      <c r="D5" s="56" t="s">
        <v>61</v>
      </c>
      <c r="E5" s="54">
        <f>'EID List'!$G$7</f>
        <v>0</v>
      </c>
      <c r="G5" s="3" t="s">
        <v>0</v>
      </c>
      <c r="H5" s="327">
        <f ca="1">TODAY()</f>
        <v>44621</v>
      </c>
      <c r="I5" s="327"/>
      <c r="J5" s="56" t="s">
        <v>61</v>
      </c>
      <c r="K5" s="65">
        <f>'EID List'!$G$7</f>
        <v>0</v>
      </c>
    </row>
    <row r="6" spans="1:11" ht="25.5" customHeight="1" x14ac:dyDescent="0.3">
      <c r="A6" s="3"/>
      <c r="B6" s="5"/>
      <c r="C6" s="5"/>
      <c r="G6" s="3"/>
      <c r="H6" s="5"/>
      <c r="I6" s="5"/>
    </row>
    <row r="7" spans="1:11" ht="25.5" x14ac:dyDescent="0.25">
      <c r="A7" s="4">
        <f>G1+1</f>
        <v>2</v>
      </c>
      <c r="B7" s="329">
        <f>'EID List'!Z10</f>
        <v>0</v>
      </c>
      <c r="C7" s="329"/>
      <c r="D7" s="329"/>
      <c r="E7" s="329"/>
      <c r="G7" s="4">
        <f>A7+1</f>
        <v>3</v>
      </c>
      <c r="H7" s="329">
        <f>'EID List'!Z11</f>
        <v>0</v>
      </c>
      <c r="I7" s="329"/>
      <c r="J7" s="329"/>
      <c r="K7" s="329"/>
    </row>
    <row r="8" spans="1:11" ht="22.5" x14ac:dyDescent="0.25">
      <c r="A8" s="330" t="s">
        <v>6</v>
      </c>
      <c r="B8" s="330"/>
      <c r="C8" s="334">
        <f>'EID List'!C10</f>
        <v>0</v>
      </c>
      <c r="D8" s="334"/>
      <c r="E8" s="334"/>
      <c r="G8" s="332" t="s">
        <v>6</v>
      </c>
      <c r="H8" s="333"/>
      <c r="I8" s="334">
        <f>'EID List'!C11</f>
        <v>0</v>
      </c>
      <c r="J8" s="334"/>
      <c r="K8" s="334"/>
    </row>
    <row r="9" spans="1:11" ht="22.5" x14ac:dyDescent="0.3">
      <c r="A9" s="326" t="s">
        <v>42</v>
      </c>
      <c r="B9" s="326"/>
      <c r="C9" s="328">
        <f>'EID List'!$L$3</f>
        <v>0</v>
      </c>
      <c r="D9" s="328"/>
      <c r="E9" s="328"/>
      <c r="G9" s="63" t="s">
        <v>42</v>
      </c>
      <c r="H9" s="64"/>
      <c r="I9" s="328">
        <f>'EID List'!$L$3</f>
        <v>0</v>
      </c>
      <c r="J9" s="328"/>
      <c r="K9" s="328"/>
    </row>
    <row r="10" spans="1:11" ht="22.5" x14ac:dyDescent="0.3">
      <c r="A10" s="326" t="s">
        <v>40</v>
      </c>
      <c r="B10" s="326"/>
      <c r="C10" s="328">
        <f>'EID List'!$F$4</f>
        <v>0</v>
      </c>
      <c r="D10" s="328"/>
      <c r="E10" s="328"/>
      <c r="G10" s="326" t="s">
        <v>41</v>
      </c>
      <c r="H10" s="326"/>
      <c r="I10" s="328">
        <f>'EID List'!$F$4</f>
        <v>0</v>
      </c>
      <c r="J10" s="328"/>
      <c r="K10" s="328"/>
    </row>
    <row r="11" spans="1:11" ht="23.25" thickBot="1" x14ac:dyDescent="0.35">
      <c r="A11" s="3" t="s">
        <v>0</v>
      </c>
      <c r="B11" s="327">
        <f ca="1">TODAY()</f>
        <v>44621</v>
      </c>
      <c r="C11" s="327"/>
      <c r="D11" s="56" t="s">
        <v>61</v>
      </c>
      <c r="E11" s="65">
        <f>'EID List'!$G$7</f>
        <v>0</v>
      </c>
      <c r="G11" s="3" t="s">
        <v>0</v>
      </c>
      <c r="H11" s="327">
        <f ca="1">TODAY()</f>
        <v>44621</v>
      </c>
      <c r="I11" s="327"/>
      <c r="J11" s="56" t="s">
        <v>61</v>
      </c>
      <c r="K11" s="65">
        <f>'EID List'!$G$7</f>
        <v>0</v>
      </c>
    </row>
    <row r="12" spans="1:11" ht="25.5" customHeight="1" x14ac:dyDescent="0.3">
      <c r="A12" s="3"/>
      <c r="B12" s="5"/>
      <c r="C12" s="5"/>
      <c r="G12" s="3"/>
      <c r="H12" s="5"/>
      <c r="I12" s="5"/>
    </row>
    <row r="13" spans="1:11" ht="25.5" x14ac:dyDescent="0.25">
      <c r="A13" s="66">
        <f>G7+1</f>
        <v>4</v>
      </c>
      <c r="B13" s="329">
        <f>'EID List'!Z12</f>
        <v>0</v>
      </c>
      <c r="C13" s="329"/>
      <c r="D13" s="329"/>
      <c r="E13" s="329"/>
      <c r="G13" s="66">
        <f>A13+1</f>
        <v>5</v>
      </c>
      <c r="H13" s="329">
        <f>'EID List'!Z13</f>
        <v>0</v>
      </c>
      <c r="I13" s="329"/>
      <c r="J13" s="329"/>
      <c r="K13" s="329"/>
    </row>
    <row r="14" spans="1:11" ht="22.5" x14ac:dyDescent="0.25">
      <c r="A14" s="330" t="s">
        <v>6</v>
      </c>
      <c r="B14" s="330"/>
      <c r="C14" s="334">
        <f>'EID List'!C12</f>
        <v>0</v>
      </c>
      <c r="D14" s="334"/>
      <c r="E14" s="334"/>
      <c r="G14" s="330" t="s">
        <v>6</v>
      </c>
      <c r="H14" s="330"/>
      <c r="I14" s="334">
        <f>'EID List'!C13</f>
        <v>0</v>
      </c>
      <c r="J14" s="334"/>
      <c r="K14" s="334"/>
    </row>
    <row r="15" spans="1:11" ht="22.5" x14ac:dyDescent="0.3">
      <c r="A15" s="326" t="s">
        <v>42</v>
      </c>
      <c r="B15" s="326"/>
      <c r="C15" s="328">
        <f>'EID List'!$L$3</f>
        <v>0</v>
      </c>
      <c r="D15" s="328"/>
      <c r="E15" s="328"/>
      <c r="G15" s="326" t="s">
        <v>42</v>
      </c>
      <c r="H15" s="326"/>
      <c r="I15" s="328">
        <f>'EID List'!$L$3</f>
        <v>0</v>
      </c>
      <c r="J15" s="328"/>
      <c r="K15" s="328"/>
    </row>
    <row r="16" spans="1:11" ht="22.5" x14ac:dyDescent="0.3">
      <c r="A16" s="326" t="s">
        <v>40</v>
      </c>
      <c r="B16" s="326"/>
      <c r="C16" s="328">
        <f>'EID List'!$F$4</f>
        <v>0</v>
      </c>
      <c r="D16" s="328"/>
      <c r="E16" s="328"/>
      <c r="G16" s="326" t="s">
        <v>41</v>
      </c>
      <c r="H16" s="326"/>
      <c r="I16" s="328">
        <f>'EID List'!$F$4</f>
        <v>0</v>
      </c>
      <c r="J16" s="328"/>
      <c r="K16" s="328"/>
    </row>
    <row r="17" spans="1:11" ht="23.25" thickBot="1" x14ac:dyDescent="0.35">
      <c r="A17" s="3" t="s">
        <v>0</v>
      </c>
      <c r="B17" s="327">
        <f ca="1">TODAY()</f>
        <v>44621</v>
      </c>
      <c r="C17" s="327"/>
      <c r="D17" s="56" t="s">
        <v>61</v>
      </c>
      <c r="E17" s="65">
        <f>'EID List'!$G$7</f>
        <v>0</v>
      </c>
      <c r="G17" s="3" t="s">
        <v>0</v>
      </c>
      <c r="H17" s="327">
        <f ca="1">TODAY()</f>
        <v>44621</v>
      </c>
      <c r="I17" s="327"/>
      <c r="J17" s="56" t="s">
        <v>61</v>
      </c>
      <c r="K17" s="65">
        <f>'EID List'!$G$7</f>
        <v>0</v>
      </c>
    </row>
    <row r="18" spans="1:11" ht="25.5" customHeight="1" x14ac:dyDescent="0.3">
      <c r="A18" s="3"/>
      <c r="B18" s="5"/>
      <c r="C18" s="5"/>
      <c r="G18" s="3"/>
      <c r="H18" s="5"/>
      <c r="I18" s="5"/>
    </row>
    <row r="19" spans="1:11" ht="25.5" x14ac:dyDescent="0.25">
      <c r="A19" s="66">
        <f>G13+1</f>
        <v>6</v>
      </c>
      <c r="B19" s="329">
        <f>'EID List'!Z14</f>
        <v>0</v>
      </c>
      <c r="C19" s="329"/>
      <c r="D19" s="329"/>
      <c r="E19" s="329"/>
      <c r="G19" s="66">
        <f>A19+1</f>
        <v>7</v>
      </c>
      <c r="H19" s="329">
        <f>'EID List'!Z15</f>
        <v>0</v>
      </c>
      <c r="I19" s="329"/>
      <c r="J19" s="329"/>
      <c r="K19" s="329"/>
    </row>
    <row r="20" spans="1:11" ht="22.5" x14ac:dyDescent="0.25">
      <c r="A20" s="330" t="s">
        <v>6</v>
      </c>
      <c r="B20" s="330"/>
      <c r="C20" s="334">
        <f>'EID List'!C14</f>
        <v>0</v>
      </c>
      <c r="D20" s="334"/>
      <c r="E20" s="334"/>
      <c r="G20" s="330" t="s">
        <v>6</v>
      </c>
      <c r="H20" s="330"/>
      <c r="I20" s="334">
        <f>'EID List'!C15</f>
        <v>0</v>
      </c>
      <c r="J20" s="334"/>
      <c r="K20" s="334"/>
    </row>
    <row r="21" spans="1:11" ht="22.5" x14ac:dyDescent="0.3">
      <c r="A21" s="326" t="s">
        <v>42</v>
      </c>
      <c r="B21" s="326"/>
      <c r="C21" s="328">
        <f>'EID List'!$L$3</f>
        <v>0</v>
      </c>
      <c r="D21" s="328"/>
      <c r="E21" s="328"/>
      <c r="G21" s="326" t="s">
        <v>42</v>
      </c>
      <c r="H21" s="326"/>
      <c r="I21" s="328">
        <f>'EID List'!$L$3</f>
        <v>0</v>
      </c>
      <c r="J21" s="328"/>
      <c r="K21" s="328"/>
    </row>
    <row r="22" spans="1:11" ht="22.5" x14ac:dyDescent="0.3">
      <c r="A22" s="326" t="s">
        <v>40</v>
      </c>
      <c r="B22" s="326"/>
      <c r="C22" s="328">
        <f>'EID List'!$F$4</f>
        <v>0</v>
      </c>
      <c r="D22" s="328"/>
      <c r="E22" s="328"/>
      <c r="G22" s="326" t="s">
        <v>41</v>
      </c>
      <c r="H22" s="326"/>
      <c r="I22" s="328">
        <f>'EID List'!$F$4</f>
        <v>0</v>
      </c>
      <c r="J22" s="328"/>
      <c r="K22" s="328"/>
    </row>
    <row r="23" spans="1:11" ht="23.25" thickBot="1" x14ac:dyDescent="0.35">
      <c r="A23" s="3" t="s">
        <v>0</v>
      </c>
      <c r="B23" s="327">
        <f ca="1">TODAY()</f>
        <v>44621</v>
      </c>
      <c r="C23" s="327"/>
      <c r="D23" s="56" t="s">
        <v>61</v>
      </c>
      <c r="E23" s="65">
        <f>'EID List'!$G$7</f>
        <v>0</v>
      </c>
      <c r="G23" s="3" t="s">
        <v>0</v>
      </c>
      <c r="H23" s="327">
        <f ca="1">TODAY()</f>
        <v>44621</v>
      </c>
      <c r="I23" s="327"/>
      <c r="J23" s="56" t="s">
        <v>61</v>
      </c>
      <c r="K23" s="65">
        <f>'EID List'!$G$7</f>
        <v>0</v>
      </c>
    </row>
    <row r="24" spans="1:11" ht="25.5" customHeight="1" x14ac:dyDescent="0.3">
      <c r="A24" s="3"/>
      <c r="B24" s="5"/>
      <c r="C24" s="5"/>
      <c r="G24" s="3"/>
      <c r="H24" s="5"/>
      <c r="I24" s="5"/>
    </row>
    <row r="25" spans="1:11" ht="25.5" x14ac:dyDescent="0.25">
      <c r="A25" s="66">
        <f>G19+1</f>
        <v>8</v>
      </c>
      <c r="B25" s="329">
        <f>'EID List'!Z16</f>
        <v>0</v>
      </c>
      <c r="C25" s="329"/>
      <c r="D25" s="329"/>
      <c r="E25" s="329"/>
      <c r="G25" s="66">
        <f>A25+1</f>
        <v>9</v>
      </c>
      <c r="H25" s="329">
        <f>'EID List'!Z17</f>
        <v>0</v>
      </c>
      <c r="I25" s="329"/>
      <c r="J25" s="329"/>
      <c r="K25" s="329"/>
    </row>
    <row r="26" spans="1:11" ht="22.5" x14ac:dyDescent="0.25">
      <c r="A26" s="330" t="s">
        <v>6</v>
      </c>
      <c r="B26" s="330"/>
      <c r="C26" s="334">
        <f>'EID List'!C16</f>
        <v>0</v>
      </c>
      <c r="D26" s="334"/>
      <c r="E26" s="334"/>
      <c r="G26" s="330" t="s">
        <v>6</v>
      </c>
      <c r="H26" s="330"/>
      <c r="I26" s="334">
        <f>'EID List'!C17</f>
        <v>0</v>
      </c>
      <c r="J26" s="334"/>
      <c r="K26" s="334"/>
    </row>
    <row r="27" spans="1:11" ht="22.5" x14ac:dyDescent="0.3">
      <c r="A27" s="326" t="s">
        <v>42</v>
      </c>
      <c r="B27" s="326"/>
      <c r="C27" s="328">
        <f>'EID List'!$L$3</f>
        <v>0</v>
      </c>
      <c r="D27" s="328"/>
      <c r="E27" s="328"/>
      <c r="G27" s="326" t="s">
        <v>42</v>
      </c>
      <c r="H27" s="326"/>
      <c r="I27" s="328">
        <f>'EID List'!$L$3</f>
        <v>0</v>
      </c>
      <c r="J27" s="328"/>
      <c r="K27" s="328"/>
    </row>
    <row r="28" spans="1:11" ht="22.5" x14ac:dyDescent="0.3">
      <c r="A28" s="326" t="s">
        <v>40</v>
      </c>
      <c r="B28" s="326"/>
      <c r="C28" s="328">
        <f>'EID List'!$F$4</f>
        <v>0</v>
      </c>
      <c r="D28" s="328"/>
      <c r="E28" s="328"/>
      <c r="G28" s="326" t="s">
        <v>41</v>
      </c>
      <c r="H28" s="326"/>
      <c r="I28" s="328">
        <f>'EID List'!$F$4</f>
        <v>0</v>
      </c>
      <c r="J28" s="328"/>
      <c r="K28" s="328"/>
    </row>
    <row r="29" spans="1:11" ht="23.25" thickBot="1" x14ac:dyDescent="0.35">
      <c r="A29" s="3" t="s">
        <v>0</v>
      </c>
      <c r="B29" s="327">
        <f ca="1">TODAY()</f>
        <v>44621</v>
      </c>
      <c r="C29" s="327"/>
      <c r="D29" s="56" t="s">
        <v>61</v>
      </c>
      <c r="E29" s="65">
        <f>'EID List'!$G$7</f>
        <v>0</v>
      </c>
      <c r="G29" s="3" t="s">
        <v>0</v>
      </c>
      <c r="H29" s="327">
        <f ca="1">TODAY()</f>
        <v>44621</v>
      </c>
      <c r="I29" s="327"/>
      <c r="J29" s="56" t="s">
        <v>61</v>
      </c>
      <c r="K29" s="65">
        <f>'EID List'!$G$7</f>
        <v>0</v>
      </c>
    </row>
    <row r="30" spans="1:11" ht="0.75" customHeight="1" x14ac:dyDescent="0.3">
      <c r="A30" s="3"/>
      <c r="B30" s="5"/>
      <c r="C30" s="5"/>
      <c r="G30" s="3"/>
      <c r="H30" s="5"/>
      <c r="I30" s="5"/>
    </row>
    <row r="31" spans="1:11" ht="25.5" x14ac:dyDescent="0.25">
      <c r="A31" s="66">
        <f>G25+1</f>
        <v>10</v>
      </c>
      <c r="B31" s="329">
        <f>'EID List'!Z18</f>
        <v>0</v>
      </c>
      <c r="C31" s="329"/>
      <c r="D31" s="329"/>
      <c r="E31" s="329"/>
      <c r="G31" s="66">
        <f>A31+1</f>
        <v>11</v>
      </c>
      <c r="H31" s="329">
        <f>'EID List'!Z19</f>
        <v>0</v>
      </c>
      <c r="I31" s="329"/>
      <c r="J31" s="329"/>
      <c r="K31" s="329"/>
    </row>
    <row r="32" spans="1:11" ht="22.5" customHeight="1" x14ac:dyDescent="0.25">
      <c r="A32" s="330" t="s">
        <v>6</v>
      </c>
      <c r="B32" s="330"/>
      <c r="C32" s="334">
        <f>'EID List'!C18</f>
        <v>0</v>
      </c>
      <c r="D32" s="334"/>
      <c r="E32" s="334"/>
      <c r="G32" s="332" t="s">
        <v>6</v>
      </c>
      <c r="H32" s="333"/>
      <c r="I32" s="334">
        <f>'EID List'!C19</f>
        <v>0</v>
      </c>
      <c r="J32" s="334"/>
      <c r="K32" s="334"/>
    </row>
    <row r="33" spans="1:11" ht="22.5" x14ac:dyDescent="0.3">
      <c r="A33" s="326" t="s">
        <v>42</v>
      </c>
      <c r="B33" s="326"/>
      <c r="C33" s="328">
        <f>'EID List'!$L$3</f>
        <v>0</v>
      </c>
      <c r="D33" s="328"/>
      <c r="E33" s="328"/>
      <c r="G33" s="63" t="s">
        <v>42</v>
      </c>
      <c r="H33" s="64"/>
      <c r="I33" s="328">
        <f>'EID List'!$L$3</f>
        <v>0</v>
      </c>
      <c r="J33" s="328"/>
      <c r="K33" s="328"/>
    </row>
    <row r="34" spans="1:11" ht="22.5" x14ac:dyDescent="0.3">
      <c r="A34" s="326" t="s">
        <v>40</v>
      </c>
      <c r="B34" s="326"/>
      <c r="C34" s="328">
        <f>'EID List'!$F$4</f>
        <v>0</v>
      </c>
      <c r="D34" s="328"/>
      <c r="E34" s="328"/>
      <c r="G34" s="326" t="s">
        <v>41</v>
      </c>
      <c r="H34" s="326"/>
      <c r="I34" s="328">
        <f>'EID List'!$F$4</f>
        <v>0</v>
      </c>
      <c r="J34" s="328"/>
      <c r="K34" s="328"/>
    </row>
    <row r="35" spans="1:11" ht="23.25" thickBot="1" x14ac:dyDescent="0.35">
      <c r="A35" s="3" t="s">
        <v>0</v>
      </c>
      <c r="B35" s="327">
        <f ca="1">TODAY()</f>
        <v>44621</v>
      </c>
      <c r="C35" s="327"/>
      <c r="D35" s="56" t="s">
        <v>61</v>
      </c>
      <c r="E35" s="65">
        <f>'EID List'!$G$7</f>
        <v>0</v>
      </c>
      <c r="G35" s="3" t="s">
        <v>0</v>
      </c>
      <c r="H35" s="327">
        <f ca="1">TODAY()</f>
        <v>44621</v>
      </c>
      <c r="I35" s="327"/>
      <c r="J35" s="56" t="s">
        <v>61</v>
      </c>
      <c r="K35" s="65">
        <f>'EID List'!$G$7</f>
        <v>0</v>
      </c>
    </row>
    <row r="36" spans="1:11" ht="25.5" customHeight="1" x14ac:dyDescent="0.3">
      <c r="A36" s="3"/>
      <c r="B36" s="64"/>
      <c r="C36" s="64"/>
      <c r="G36" s="3"/>
      <c r="H36" s="64"/>
      <c r="I36" s="64"/>
    </row>
    <row r="37" spans="1:11" ht="25.5" x14ac:dyDescent="0.25">
      <c r="A37" s="66">
        <f>G31+1</f>
        <v>12</v>
      </c>
      <c r="B37" s="329">
        <f>'EID List'!Z39</f>
        <v>0</v>
      </c>
      <c r="C37" s="329"/>
      <c r="D37" s="329"/>
      <c r="E37" s="329"/>
      <c r="G37" s="66">
        <f>A37+1</f>
        <v>13</v>
      </c>
      <c r="H37" s="329">
        <f>'EID List'!Z40</f>
        <v>0</v>
      </c>
      <c r="I37" s="329"/>
      <c r="J37" s="329"/>
      <c r="K37" s="329"/>
    </row>
    <row r="38" spans="1:11" ht="22.5" x14ac:dyDescent="0.25">
      <c r="A38" s="330" t="s">
        <v>6</v>
      </c>
      <c r="B38" s="330"/>
      <c r="C38" s="334">
        <f>'EID List'!C39</f>
        <v>0</v>
      </c>
      <c r="D38" s="334"/>
      <c r="E38" s="334"/>
      <c r="G38" s="332" t="s">
        <v>6</v>
      </c>
      <c r="H38" s="333"/>
      <c r="I38" s="334">
        <f>'EID List'!C40</f>
        <v>0</v>
      </c>
      <c r="J38" s="334"/>
      <c r="K38" s="334"/>
    </row>
    <row r="39" spans="1:11" ht="22.5" x14ac:dyDescent="0.3">
      <c r="A39" s="326" t="s">
        <v>42</v>
      </c>
      <c r="B39" s="326"/>
      <c r="C39" s="328">
        <f>'EID List'!$L$3</f>
        <v>0</v>
      </c>
      <c r="D39" s="328"/>
      <c r="E39" s="328"/>
      <c r="G39" s="326" t="s">
        <v>42</v>
      </c>
      <c r="H39" s="326"/>
      <c r="I39" s="328">
        <f>'EID List'!$L$3</f>
        <v>0</v>
      </c>
      <c r="J39" s="328"/>
      <c r="K39" s="328"/>
    </row>
    <row r="40" spans="1:11" ht="22.5" x14ac:dyDescent="0.3">
      <c r="A40" s="326" t="s">
        <v>40</v>
      </c>
      <c r="B40" s="326"/>
      <c r="C40" s="328">
        <f>'EID List'!$F$4</f>
        <v>0</v>
      </c>
      <c r="D40" s="328"/>
      <c r="E40" s="328"/>
      <c r="G40" s="326" t="s">
        <v>41</v>
      </c>
      <c r="H40" s="326"/>
      <c r="I40" s="328">
        <f>'EID List'!$F$4</f>
        <v>0</v>
      </c>
      <c r="J40" s="328"/>
      <c r="K40" s="328"/>
    </row>
    <row r="41" spans="1:11" ht="23.25" thickBot="1" x14ac:dyDescent="0.35">
      <c r="A41" s="3" t="s">
        <v>0</v>
      </c>
      <c r="B41" s="327">
        <f ca="1">TODAY()</f>
        <v>44621</v>
      </c>
      <c r="C41" s="327"/>
      <c r="D41" s="56" t="s">
        <v>61</v>
      </c>
      <c r="E41" s="65">
        <f>'EID List'!$G$7</f>
        <v>0</v>
      </c>
      <c r="G41" s="3" t="s">
        <v>0</v>
      </c>
      <c r="H41" s="327">
        <f ca="1">TODAY()</f>
        <v>44621</v>
      </c>
      <c r="I41" s="327"/>
      <c r="J41" s="56" t="s">
        <v>61</v>
      </c>
      <c r="K41" s="65">
        <f>'EID List'!$G$7</f>
        <v>0</v>
      </c>
    </row>
    <row r="42" spans="1:11" ht="25.5" customHeight="1" x14ac:dyDescent="0.3">
      <c r="A42" s="3"/>
      <c r="B42" s="64"/>
      <c r="C42" s="64"/>
      <c r="G42" s="3"/>
      <c r="H42" s="64"/>
      <c r="I42" s="64"/>
    </row>
    <row r="43" spans="1:11" ht="25.5" x14ac:dyDescent="0.25">
      <c r="A43" s="66">
        <f>G37+1</f>
        <v>14</v>
      </c>
      <c r="B43" s="329">
        <f>'EID List'!Z41</f>
        <v>0</v>
      </c>
      <c r="C43" s="329"/>
      <c r="D43" s="329"/>
      <c r="E43" s="329"/>
      <c r="G43" s="66">
        <f>A43+1</f>
        <v>15</v>
      </c>
      <c r="H43" s="329">
        <f>'EID List'!Z42</f>
        <v>0</v>
      </c>
      <c r="I43" s="329"/>
      <c r="J43" s="329"/>
      <c r="K43" s="329"/>
    </row>
    <row r="44" spans="1:11" ht="22.5" x14ac:dyDescent="0.25">
      <c r="A44" s="330" t="s">
        <v>6</v>
      </c>
      <c r="B44" s="330"/>
      <c r="C44" s="334">
        <f>'EID List'!C41</f>
        <v>0</v>
      </c>
      <c r="D44" s="334"/>
      <c r="E44" s="334"/>
      <c r="G44" s="330" t="s">
        <v>6</v>
      </c>
      <c r="H44" s="330"/>
      <c r="I44" s="334">
        <f>'EID List'!C42</f>
        <v>0</v>
      </c>
      <c r="J44" s="334"/>
      <c r="K44" s="334"/>
    </row>
    <row r="45" spans="1:11" ht="22.5" x14ac:dyDescent="0.3">
      <c r="A45" s="326" t="s">
        <v>42</v>
      </c>
      <c r="B45" s="326"/>
      <c r="C45" s="328">
        <f>'EID List'!$L$3</f>
        <v>0</v>
      </c>
      <c r="D45" s="328"/>
      <c r="E45" s="328"/>
      <c r="G45" s="326" t="s">
        <v>42</v>
      </c>
      <c r="H45" s="326"/>
      <c r="I45" s="328">
        <f>'EID List'!$L$3</f>
        <v>0</v>
      </c>
      <c r="J45" s="328"/>
      <c r="K45" s="328"/>
    </row>
    <row r="46" spans="1:11" ht="22.5" x14ac:dyDescent="0.3">
      <c r="A46" s="326" t="s">
        <v>40</v>
      </c>
      <c r="B46" s="326"/>
      <c r="C46" s="328">
        <f>'EID List'!$F$4</f>
        <v>0</v>
      </c>
      <c r="D46" s="328"/>
      <c r="E46" s="328"/>
      <c r="G46" s="326" t="s">
        <v>41</v>
      </c>
      <c r="H46" s="326"/>
      <c r="I46" s="328">
        <f>'EID List'!$F$4</f>
        <v>0</v>
      </c>
      <c r="J46" s="328"/>
      <c r="K46" s="328"/>
    </row>
    <row r="47" spans="1:11" ht="23.25" thickBot="1" x14ac:dyDescent="0.35">
      <c r="A47" s="3" t="s">
        <v>0</v>
      </c>
      <c r="B47" s="327">
        <f ca="1">TODAY()</f>
        <v>44621</v>
      </c>
      <c r="C47" s="327"/>
      <c r="D47" s="56" t="s">
        <v>61</v>
      </c>
      <c r="E47" s="65">
        <f>'EID List'!$G$7</f>
        <v>0</v>
      </c>
      <c r="G47" s="3" t="s">
        <v>0</v>
      </c>
      <c r="H47" s="327">
        <f ca="1">TODAY()</f>
        <v>44621</v>
      </c>
      <c r="I47" s="327"/>
      <c r="J47" s="56" t="s">
        <v>61</v>
      </c>
      <c r="K47" s="65">
        <f>'EID List'!$G$7</f>
        <v>0</v>
      </c>
    </row>
    <row r="48" spans="1:11" ht="24.95" customHeight="1" x14ac:dyDescent="0.3">
      <c r="A48" s="3"/>
      <c r="B48" s="64"/>
      <c r="C48" s="64"/>
      <c r="G48" s="3"/>
      <c r="H48" s="64"/>
      <c r="I48" s="64"/>
    </row>
    <row r="49" spans="1:11" ht="25.5" x14ac:dyDescent="0.25">
      <c r="A49" s="66">
        <f>A43+2</f>
        <v>16</v>
      </c>
      <c r="B49" s="329">
        <f>'EID List'!Z43</f>
        <v>0</v>
      </c>
      <c r="C49" s="329"/>
      <c r="D49" s="329"/>
      <c r="E49" s="329"/>
      <c r="G49" s="66">
        <f>A49+1</f>
        <v>17</v>
      </c>
      <c r="H49" s="329">
        <f>'EID List'!Z44</f>
        <v>0</v>
      </c>
      <c r="I49" s="329"/>
      <c r="J49" s="329"/>
      <c r="K49" s="329"/>
    </row>
    <row r="50" spans="1:11" ht="22.5" x14ac:dyDescent="0.25">
      <c r="A50" s="330" t="s">
        <v>6</v>
      </c>
      <c r="B50" s="330"/>
      <c r="C50" s="334">
        <f>'EID List'!C43</f>
        <v>0</v>
      </c>
      <c r="D50" s="334"/>
      <c r="E50" s="334"/>
      <c r="G50" s="330" t="s">
        <v>6</v>
      </c>
      <c r="H50" s="330"/>
      <c r="I50" s="334">
        <f>'EID List'!C44</f>
        <v>0</v>
      </c>
      <c r="J50" s="334"/>
      <c r="K50" s="334"/>
    </row>
    <row r="51" spans="1:11" ht="22.5" x14ac:dyDescent="0.3">
      <c r="A51" s="326" t="s">
        <v>42</v>
      </c>
      <c r="B51" s="326"/>
      <c r="C51" s="328">
        <f>'EID List'!$L$3</f>
        <v>0</v>
      </c>
      <c r="D51" s="328"/>
      <c r="E51" s="328"/>
      <c r="G51" s="326" t="s">
        <v>42</v>
      </c>
      <c r="H51" s="326"/>
      <c r="I51" s="328">
        <f>'EID List'!$L$3</f>
        <v>0</v>
      </c>
      <c r="J51" s="328"/>
      <c r="K51" s="328"/>
    </row>
    <row r="52" spans="1:11" ht="22.5" x14ac:dyDescent="0.3">
      <c r="A52" s="326" t="s">
        <v>40</v>
      </c>
      <c r="B52" s="326"/>
      <c r="C52" s="328">
        <f>'EID List'!$F$4</f>
        <v>0</v>
      </c>
      <c r="D52" s="328"/>
      <c r="E52" s="328"/>
      <c r="G52" s="326" t="s">
        <v>41</v>
      </c>
      <c r="H52" s="326"/>
      <c r="I52" s="328">
        <f>'EID List'!$F$4</f>
        <v>0</v>
      </c>
      <c r="J52" s="328"/>
      <c r="K52" s="328"/>
    </row>
    <row r="53" spans="1:11" ht="23.25" thickBot="1" x14ac:dyDescent="0.35">
      <c r="A53" s="3" t="s">
        <v>0</v>
      </c>
      <c r="B53" s="327">
        <f ca="1">TODAY()</f>
        <v>44621</v>
      </c>
      <c r="C53" s="327"/>
      <c r="D53" s="56" t="s">
        <v>61</v>
      </c>
      <c r="E53" s="65">
        <f>'EID List'!$G$7</f>
        <v>0</v>
      </c>
      <c r="G53" s="3" t="s">
        <v>0</v>
      </c>
      <c r="H53" s="327">
        <f ca="1">TODAY()</f>
        <v>44621</v>
      </c>
      <c r="I53" s="327"/>
      <c r="J53" s="56" t="s">
        <v>61</v>
      </c>
      <c r="K53" s="65">
        <f>'EID List'!$G$7</f>
        <v>0</v>
      </c>
    </row>
    <row r="54" spans="1:11" ht="25.5" customHeight="1" x14ac:dyDescent="0.3">
      <c r="A54" s="3"/>
      <c r="B54" s="64"/>
      <c r="C54" s="64"/>
      <c r="G54" s="3"/>
      <c r="H54" s="64"/>
      <c r="I54" s="64"/>
    </row>
    <row r="55" spans="1:11" ht="25.5" x14ac:dyDescent="0.25">
      <c r="A55" s="66">
        <f>A49+2</f>
        <v>18</v>
      </c>
      <c r="B55" s="329">
        <f>'EID List'!Z45</f>
        <v>0</v>
      </c>
      <c r="C55" s="329"/>
      <c r="D55" s="329"/>
      <c r="E55" s="329"/>
      <c r="G55" s="66">
        <f>G49+2</f>
        <v>19</v>
      </c>
      <c r="H55" s="329">
        <f>'EID List'!Z46</f>
        <v>0</v>
      </c>
      <c r="I55" s="329"/>
      <c r="J55" s="329"/>
      <c r="K55" s="329"/>
    </row>
    <row r="56" spans="1:11" ht="22.5" customHeight="1" x14ac:dyDescent="0.25">
      <c r="A56" s="330" t="s">
        <v>6</v>
      </c>
      <c r="B56" s="330"/>
      <c r="C56" s="331">
        <f>'EID List'!C45</f>
        <v>0</v>
      </c>
      <c r="D56" s="331"/>
      <c r="E56" s="331"/>
      <c r="G56" s="330" t="s">
        <v>6</v>
      </c>
      <c r="H56" s="330"/>
      <c r="I56" s="331">
        <f>'EID List'!C46</f>
        <v>0</v>
      </c>
      <c r="J56" s="331"/>
      <c r="K56" s="331"/>
    </row>
    <row r="57" spans="1:11" ht="22.5" x14ac:dyDescent="0.3">
      <c r="A57" s="326" t="s">
        <v>42</v>
      </c>
      <c r="B57" s="326"/>
      <c r="C57" s="328">
        <f>'EID List'!$L$3</f>
        <v>0</v>
      </c>
      <c r="D57" s="328"/>
      <c r="E57" s="328"/>
      <c r="G57" s="326" t="s">
        <v>42</v>
      </c>
      <c r="H57" s="326"/>
      <c r="I57" s="328">
        <f>'EID List'!$L$3</f>
        <v>0</v>
      </c>
      <c r="J57" s="328"/>
      <c r="K57" s="328"/>
    </row>
    <row r="58" spans="1:11" ht="22.5" x14ac:dyDescent="0.3">
      <c r="A58" s="326" t="s">
        <v>40</v>
      </c>
      <c r="B58" s="326"/>
      <c r="C58" s="328">
        <f>'EID List'!$F$4</f>
        <v>0</v>
      </c>
      <c r="D58" s="328"/>
      <c r="E58" s="328"/>
      <c r="G58" s="326" t="s">
        <v>41</v>
      </c>
      <c r="H58" s="326"/>
      <c r="I58" s="328">
        <f>'EID List'!$F$4</f>
        <v>0</v>
      </c>
      <c r="J58" s="328"/>
      <c r="K58" s="328"/>
    </row>
    <row r="59" spans="1:11" ht="23.25" thickBot="1" x14ac:dyDescent="0.35">
      <c r="A59" s="3" t="s">
        <v>0</v>
      </c>
      <c r="B59" s="327">
        <f ca="1">TODAY()</f>
        <v>44621</v>
      </c>
      <c r="C59" s="327"/>
      <c r="D59" s="56" t="s">
        <v>61</v>
      </c>
      <c r="E59" s="65">
        <f>'EID List'!$G$7</f>
        <v>0</v>
      </c>
      <c r="G59" s="3" t="s">
        <v>0</v>
      </c>
      <c r="H59" s="327">
        <f ca="1">TODAY()</f>
        <v>44621</v>
      </c>
      <c r="I59" s="327"/>
      <c r="J59" s="56" t="s">
        <v>61</v>
      </c>
      <c r="K59" s="65">
        <f>'EID List'!$G$7</f>
        <v>0</v>
      </c>
    </row>
    <row r="60" spans="1:11" ht="0.6" customHeight="1" x14ac:dyDescent="0.3">
      <c r="A60" s="3"/>
      <c r="B60" s="64"/>
      <c r="C60" s="64"/>
      <c r="G60" s="3"/>
      <c r="H60" s="64"/>
      <c r="I60" s="64"/>
    </row>
    <row r="61" spans="1:11" ht="25.5" x14ac:dyDescent="0.25">
      <c r="A61" s="66">
        <f>A55+2</f>
        <v>20</v>
      </c>
      <c r="B61" s="329">
        <f>'EID List'!Z47</f>
        <v>0</v>
      </c>
      <c r="C61" s="329"/>
      <c r="D61" s="329"/>
      <c r="E61" s="329"/>
      <c r="G61" s="66">
        <f>A61+1</f>
        <v>21</v>
      </c>
      <c r="H61" s="329">
        <f>'EID List'!Z48</f>
        <v>0</v>
      </c>
      <c r="I61" s="329"/>
      <c r="J61" s="329"/>
      <c r="K61" s="329"/>
    </row>
    <row r="62" spans="1:11" ht="22.5" x14ac:dyDescent="0.25">
      <c r="A62" s="330" t="s">
        <v>6</v>
      </c>
      <c r="B62" s="330"/>
      <c r="C62" s="331">
        <f>'EID List'!C47</f>
        <v>0</v>
      </c>
      <c r="D62" s="331"/>
      <c r="E62" s="331"/>
      <c r="G62" s="332" t="s">
        <v>6</v>
      </c>
      <c r="H62" s="333"/>
      <c r="I62" s="331">
        <f>'EID List'!C48</f>
        <v>0</v>
      </c>
      <c r="J62" s="331"/>
      <c r="K62" s="331"/>
    </row>
    <row r="63" spans="1:11" ht="22.5" x14ac:dyDescent="0.3">
      <c r="A63" s="326" t="s">
        <v>42</v>
      </c>
      <c r="B63" s="326"/>
      <c r="C63" s="328">
        <f>'EID List'!$L$3</f>
        <v>0</v>
      </c>
      <c r="D63" s="328"/>
      <c r="E63" s="328"/>
      <c r="G63" s="63" t="s">
        <v>42</v>
      </c>
      <c r="H63" s="64"/>
      <c r="I63" s="328">
        <f>'EID List'!$L$3</f>
        <v>0</v>
      </c>
      <c r="J63" s="328"/>
      <c r="K63" s="328"/>
    </row>
    <row r="64" spans="1:11" ht="22.5" x14ac:dyDescent="0.3">
      <c r="A64" s="326" t="s">
        <v>40</v>
      </c>
      <c r="B64" s="326"/>
      <c r="C64" s="328">
        <f>'EID List'!$F$4</f>
        <v>0</v>
      </c>
      <c r="D64" s="328"/>
      <c r="E64" s="328"/>
      <c r="G64" s="326" t="s">
        <v>41</v>
      </c>
      <c r="H64" s="326"/>
      <c r="I64" s="328">
        <f>'EID List'!$F$4</f>
        <v>0</v>
      </c>
      <c r="J64" s="328"/>
      <c r="K64" s="328"/>
    </row>
    <row r="65" spans="1:11" ht="23.25" thickBot="1" x14ac:dyDescent="0.35">
      <c r="A65" s="3" t="s">
        <v>0</v>
      </c>
      <c r="B65" s="327">
        <f ca="1">TODAY()</f>
        <v>44621</v>
      </c>
      <c r="C65" s="327"/>
      <c r="D65" s="56" t="s">
        <v>61</v>
      </c>
      <c r="E65" s="65">
        <f>'EID List'!$G$7</f>
        <v>0</v>
      </c>
      <c r="G65" s="3" t="s">
        <v>0</v>
      </c>
      <c r="H65" s="327">
        <f ca="1">TODAY()</f>
        <v>44621</v>
      </c>
      <c r="I65" s="327"/>
      <c r="J65" s="56" t="s">
        <v>61</v>
      </c>
      <c r="K65" s="65">
        <f>'EID List'!$G$7</f>
        <v>0</v>
      </c>
    </row>
    <row r="66" spans="1:11" ht="25.5" customHeight="1" x14ac:dyDescent="0.3">
      <c r="A66" s="3"/>
      <c r="B66" s="64"/>
      <c r="C66" s="64"/>
      <c r="G66" s="3"/>
      <c r="H66" s="64"/>
      <c r="I66" s="64"/>
    </row>
    <row r="67" spans="1:11" ht="25.5" x14ac:dyDescent="0.25">
      <c r="A67" s="66">
        <f>A61+2</f>
        <v>22</v>
      </c>
      <c r="B67" s="329">
        <f>'EID List'!Z49</f>
        <v>0</v>
      </c>
      <c r="C67" s="329"/>
      <c r="D67" s="329"/>
      <c r="E67" s="329"/>
      <c r="G67" s="66">
        <f>G61+2</f>
        <v>23</v>
      </c>
      <c r="H67" s="329">
        <f>'EID List'!Z50</f>
        <v>0</v>
      </c>
      <c r="I67" s="329"/>
      <c r="J67" s="329"/>
      <c r="K67" s="329"/>
    </row>
    <row r="68" spans="1:11" ht="22.5" x14ac:dyDescent="0.25">
      <c r="A68" s="330" t="s">
        <v>6</v>
      </c>
      <c r="B68" s="330"/>
      <c r="C68" s="331">
        <f>'EID List'!C49</f>
        <v>0</v>
      </c>
      <c r="D68" s="331"/>
      <c r="E68" s="331"/>
      <c r="G68" s="332" t="s">
        <v>6</v>
      </c>
      <c r="H68" s="333"/>
      <c r="I68" s="331">
        <f>'EID List'!C50</f>
        <v>0</v>
      </c>
      <c r="J68" s="331"/>
      <c r="K68" s="331"/>
    </row>
    <row r="69" spans="1:11" ht="22.5" x14ac:dyDescent="0.3">
      <c r="A69" s="326" t="s">
        <v>42</v>
      </c>
      <c r="B69" s="326"/>
      <c r="C69" s="328">
        <f>'EID List'!$L$3</f>
        <v>0</v>
      </c>
      <c r="D69" s="328"/>
      <c r="E69" s="328"/>
      <c r="G69" s="326" t="s">
        <v>42</v>
      </c>
      <c r="H69" s="326"/>
      <c r="I69" s="328">
        <f>'EID List'!$L$3</f>
        <v>0</v>
      </c>
      <c r="J69" s="328"/>
      <c r="K69" s="328"/>
    </row>
    <row r="70" spans="1:11" ht="22.5" x14ac:dyDescent="0.3">
      <c r="A70" s="326" t="s">
        <v>40</v>
      </c>
      <c r="B70" s="326"/>
      <c r="C70" s="328">
        <f>'EID List'!$F$4</f>
        <v>0</v>
      </c>
      <c r="D70" s="328"/>
      <c r="E70" s="328"/>
      <c r="G70" s="326" t="s">
        <v>41</v>
      </c>
      <c r="H70" s="326"/>
      <c r="I70" s="328">
        <f>'EID List'!$F$4</f>
        <v>0</v>
      </c>
      <c r="J70" s="328"/>
      <c r="K70" s="328"/>
    </row>
    <row r="71" spans="1:11" ht="23.25" thickBot="1" x14ac:dyDescent="0.35">
      <c r="A71" s="3" t="s">
        <v>0</v>
      </c>
      <c r="B71" s="327">
        <f ca="1">TODAY()</f>
        <v>44621</v>
      </c>
      <c r="C71" s="327"/>
      <c r="D71" s="56" t="s">
        <v>61</v>
      </c>
      <c r="E71" s="65">
        <f>'EID List'!$G$7</f>
        <v>0</v>
      </c>
      <c r="G71" s="3" t="s">
        <v>0</v>
      </c>
      <c r="H71" s="327">
        <f ca="1">TODAY()</f>
        <v>44621</v>
      </c>
      <c r="I71" s="327"/>
      <c r="J71" s="56" t="s">
        <v>61</v>
      </c>
      <c r="K71" s="65">
        <f>'EID List'!$G$7</f>
        <v>0</v>
      </c>
    </row>
    <row r="72" spans="1:11" ht="24.95" customHeight="1" x14ac:dyDescent="0.3">
      <c r="A72" s="3"/>
      <c r="B72" s="64"/>
      <c r="C72" s="64"/>
      <c r="G72" s="3"/>
      <c r="H72" s="64"/>
      <c r="I72" s="64"/>
    </row>
    <row r="73" spans="1:11" ht="25.5" x14ac:dyDescent="0.25">
      <c r="A73" s="66">
        <f>A67+2</f>
        <v>24</v>
      </c>
      <c r="B73" s="329">
        <f>'EID List'!Z51</f>
        <v>0</v>
      </c>
      <c r="C73" s="329"/>
      <c r="D73" s="329"/>
      <c r="E73" s="329"/>
      <c r="G73" s="66">
        <f>A73+1</f>
        <v>25</v>
      </c>
      <c r="H73" s="329">
        <f>'EID List'!Z52</f>
        <v>0</v>
      </c>
      <c r="I73" s="329"/>
      <c r="J73" s="329"/>
      <c r="K73" s="329"/>
    </row>
    <row r="74" spans="1:11" ht="22.5" x14ac:dyDescent="0.25">
      <c r="A74" s="330" t="s">
        <v>6</v>
      </c>
      <c r="B74" s="330"/>
      <c r="C74" s="331">
        <f>'EID List'!C51</f>
        <v>0</v>
      </c>
      <c r="D74" s="331"/>
      <c r="E74" s="331"/>
      <c r="G74" s="330" t="s">
        <v>6</v>
      </c>
      <c r="H74" s="330"/>
      <c r="I74" s="331">
        <f>'EID List'!C52</f>
        <v>0</v>
      </c>
      <c r="J74" s="331"/>
      <c r="K74" s="331"/>
    </row>
    <row r="75" spans="1:11" ht="22.5" x14ac:dyDescent="0.3">
      <c r="A75" s="326" t="s">
        <v>42</v>
      </c>
      <c r="B75" s="326"/>
      <c r="C75" s="328">
        <f>'EID List'!$L$3</f>
        <v>0</v>
      </c>
      <c r="D75" s="328"/>
      <c r="E75" s="328"/>
      <c r="G75" s="326" t="s">
        <v>42</v>
      </c>
      <c r="H75" s="326"/>
      <c r="I75" s="328">
        <f>'EID List'!$L$3</f>
        <v>0</v>
      </c>
      <c r="J75" s="328"/>
      <c r="K75" s="328"/>
    </row>
    <row r="76" spans="1:11" ht="22.5" x14ac:dyDescent="0.3">
      <c r="A76" s="326" t="s">
        <v>40</v>
      </c>
      <c r="B76" s="326"/>
      <c r="C76" s="328">
        <f>'EID List'!$F$4</f>
        <v>0</v>
      </c>
      <c r="D76" s="328"/>
      <c r="E76" s="328"/>
      <c r="G76" s="326" t="s">
        <v>41</v>
      </c>
      <c r="H76" s="326"/>
      <c r="I76" s="328">
        <f>'EID List'!$F$4</f>
        <v>0</v>
      </c>
      <c r="J76" s="328"/>
      <c r="K76" s="328"/>
    </row>
    <row r="77" spans="1:11" ht="23.25" thickBot="1" x14ac:dyDescent="0.35">
      <c r="A77" s="3" t="s">
        <v>0</v>
      </c>
      <c r="B77" s="327">
        <f ca="1">TODAY()</f>
        <v>44621</v>
      </c>
      <c r="C77" s="327"/>
      <c r="D77" s="56" t="s">
        <v>61</v>
      </c>
      <c r="E77" s="65">
        <f>'EID List'!$G$7</f>
        <v>0</v>
      </c>
      <c r="G77" s="3" t="s">
        <v>0</v>
      </c>
      <c r="H77" s="327">
        <f ca="1">TODAY()</f>
        <v>44621</v>
      </c>
      <c r="I77" s="327"/>
      <c r="J77" s="56" t="s">
        <v>61</v>
      </c>
      <c r="K77" s="65">
        <f>'EID List'!$G$7</f>
        <v>0</v>
      </c>
    </row>
    <row r="78" spans="1:11" ht="24.95" customHeight="1" x14ac:dyDescent="0.3">
      <c r="A78" s="3"/>
      <c r="B78" s="64"/>
      <c r="C78" s="64"/>
      <c r="G78" s="3"/>
      <c r="H78" s="64"/>
      <c r="I78" s="64"/>
    </row>
    <row r="79" spans="1:11" ht="25.5" x14ac:dyDescent="0.25">
      <c r="A79" s="66">
        <f>A73+2</f>
        <v>26</v>
      </c>
      <c r="B79" s="329">
        <f>'EID List'!Z53</f>
        <v>0</v>
      </c>
      <c r="C79" s="329"/>
      <c r="D79" s="329"/>
      <c r="E79" s="329"/>
      <c r="G79" s="66">
        <f>G73+2</f>
        <v>27</v>
      </c>
      <c r="H79" s="329">
        <f>'EID List'!Z54</f>
        <v>0</v>
      </c>
      <c r="I79" s="329"/>
      <c r="J79" s="329"/>
      <c r="K79" s="329"/>
    </row>
    <row r="80" spans="1:11" ht="22.5" customHeight="1" x14ac:dyDescent="0.25">
      <c r="A80" s="330" t="s">
        <v>6</v>
      </c>
      <c r="B80" s="330"/>
      <c r="C80" s="331">
        <f>'EID List'!C53</f>
        <v>0</v>
      </c>
      <c r="D80" s="331"/>
      <c r="E80" s="331"/>
      <c r="G80" s="330" t="s">
        <v>6</v>
      </c>
      <c r="H80" s="330"/>
      <c r="I80" s="331">
        <f>'EID List'!C54</f>
        <v>0</v>
      </c>
      <c r="J80" s="331"/>
      <c r="K80" s="331"/>
    </row>
    <row r="81" spans="1:11" ht="22.5" x14ac:dyDescent="0.3">
      <c r="A81" s="326" t="s">
        <v>42</v>
      </c>
      <c r="B81" s="326"/>
      <c r="C81" s="328">
        <f>'EID List'!$L$3</f>
        <v>0</v>
      </c>
      <c r="D81" s="328"/>
      <c r="E81" s="328"/>
      <c r="G81" s="326" t="s">
        <v>42</v>
      </c>
      <c r="H81" s="326"/>
      <c r="I81" s="328">
        <f>'EID List'!$L$3</f>
        <v>0</v>
      </c>
      <c r="J81" s="328"/>
      <c r="K81" s="328"/>
    </row>
    <row r="82" spans="1:11" ht="22.5" x14ac:dyDescent="0.3">
      <c r="A82" s="326" t="s">
        <v>40</v>
      </c>
      <c r="B82" s="326"/>
      <c r="C82" s="328">
        <f>'EID List'!$F$4</f>
        <v>0</v>
      </c>
      <c r="D82" s="328"/>
      <c r="E82" s="328"/>
      <c r="G82" s="326" t="s">
        <v>41</v>
      </c>
      <c r="H82" s="326"/>
      <c r="I82" s="328">
        <f>'EID List'!$F$4</f>
        <v>0</v>
      </c>
      <c r="J82" s="328"/>
      <c r="K82" s="328"/>
    </row>
    <row r="83" spans="1:11" ht="23.25" thickBot="1" x14ac:dyDescent="0.35">
      <c r="A83" s="3" t="s">
        <v>0</v>
      </c>
      <c r="B83" s="327">
        <f ca="1">TODAY()</f>
        <v>44621</v>
      </c>
      <c r="C83" s="327"/>
      <c r="D83" s="56" t="s">
        <v>61</v>
      </c>
      <c r="E83" s="65">
        <f>'EID List'!$G$7</f>
        <v>0</v>
      </c>
      <c r="G83" s="3" t="s">
        <v>0</v>
      </c>
      <c r="H83" s="327">
        <f ca="1">TODAY()</f>
        <v>44621</v>
      </c>
      <c r="I83" s="327"/>
      <c r="J83" s="56" t="s">
        <v>61</v>
      </c>
      <c r="K83" s="65">
        <f>'EID List'!$G$7</f>
        <v>0</v>
      </c>
    </row>
    <row r="84" spans="1:11" ht="25.5" customHeight="1" x14ac:dyDescent="0.3">
      <c r="A84" s="3"/>
      <c r="B84" s="64"/>
      <c r="C84" s="64"/>
      <c r="G84" s="3"/>
      <c r="H84" s="64"/>
      <c r="I84" s="64"/>
    </row>
    <row r="85" spans="1:11" ht="25.5" x14ac:dyDescent="0.25">
      <c r="A85" s="66">
        <f>A79+2</f>
        <v>28</v>
      </c>
      <c r="B85" s="329">
        <f>'EID List'!Z55</f>
        <v>0</v>
      </c>
      <c r="C85" s="329"/>
      <c r="D85" s="329"/>
      <c r="E85" s="329"/>
      <c r="G85" s="66">
        <f>A85+1</f>
        <v>29</v>
      </c>
      <c r="H85" s="329">
        <f>'EID List'!Z56</f>
        <v>0</v>
      </c>
      <c r="I85" s="329"/>
      <c r="J85" s="329"/>
      <c r="K85" s="329"/>
    </row>
    <row r="86" spans="1:11" ht="22.5" x14ac:dyDescent="0.25">
      <c r="A86" s="330" t="s">
        <v>6</v>
      </c>
      <c r="B86" s="330"/>
      <c r="C86" s="331">
        <f>'EID List'!C55</f>
        <v>0</v>
      </c>
      <c r="D86" s="331"/>
      <c r="E86" s="331"/>
      <c r="G86" s="330" t="s">
        <v>6</v>
      </c>
      <c r="H86" s="330"/>
      <c r="I86" s="331">
        <f>'EID List'!C56</f>
        <v>0</v>
      </c>
      <c r="J86" s="331"/>
      <c r="K86" s="331"/>
    </row>
    <row r="87" spans="1:11" ht="22.5" x14ac:dyDescent="0.3">
      <c r="A87" s="326" t="s">
        <v>42</v>
      </c>
      <c r="B87" s="326"/>
      <c r="C87" s="328">
        <f>'EID List'!$L$3</f>
        <v>0</v>
      </c>
      <c r="D87" s="328"/>
      <c r="E87" s="328"/>
      <c r="G87" s="326" t="s">
        <v>42</v>
      </c>
      <c r="H87" s="326"/>
      <c r="I87" s="328">
        <f>'EID List'!$L$3</f>
        <v>0</v>
      </c>
      <c r="J87" s="328"/>
      <c r="K87" s="328"/>
    </row>
    <row r="88" spans="1:11" ht="22.5" x14ac:dyDescent="0.3">
      <c r="A88" s="326" t="s">
        <v>40</v>
      </c>
      <c r="B88" s="326"/>
      <c r="C88" s="328">
        <f>'EID List'!$F$4</f>
        <v>0</v>
      </c>
      <c r="D88" s="328"/>
      <c r="E88" s="328"/>
      <c r="G88" s="326" t="s">
        <v>41</v>
      </c>
      <c r="H88" s="326"/>
      <c r="I88" s="328">
        <f>'EID List'!$F$4</f>
        <v>0</v>
      </c>
      <c r="J88" s="328"/>
      <c r="K88" s="328"/>
    </row>
    <row r="89" spans="1:11" ht="23.25" thickBot="1" x14ac:dyDescent="0.35">
      <c r="A89" s="3" t="s">
        <v>0</v>
      </c>
      <c r="B89" s="327">
        <f ca="1">TODAY()</f>
        <v>44621</v>
      </c>
      <c r="C89" s="327"/>
      <c r="D89" s="56" t="s">
        <v>61</v>
      </c>
      <c r="E89" s="65">
        <f>'EID List'!$G$7</f>
        <v>0</v>
      </c>
      <c r="G89" s="3" t="s">
        <v>0</v>
      </c>
      <c r="H89" s="327">
        <f ca="1">TODAY()</f>
        <v>44621</v>
      </c>
      <c r="I89" s="327"/>
      <c r="J89" s="56" t="s">
        <v>61</v>
      </c>
      <c r="K89" s="65">
        <f>'EID List'!$G$7</f>
        <v>0</v>
      </c>
    </row>
    <row r="90" spans="1:11" ht="1.5" customHeight="1" x14ac:dyDescent="0.3">
      <c r="A90" s="3"/>
      <c r="B90" s="5"/>
      <c r="C90" s="5"/>
      <c r="G90" s="3"/>
      <c r="H90" s="5"/>
      <c r="I90" s="5"/>
    </row>
    <row r="91" spans="1:11" ht="25.5" x14ac:dyDescent="0.25">
      <c r="A91" s="66">
        <f>A85+2</f>
        <v>30</v>
      </c>
      <c r="B91" s="329">
        <f>'EID List'!Z57</f>
        <v>0</v>
      </c>
      <c r="C91" s="329"/>
      <c r="D91" s="329"/>
      <c r="E91" s="329"/>
      <c r="G91" s="66">
        <f>G85+2</f>
        <v>31</v>
      </c>
      <c r="H91" s="329">
        <f>'EID List'!Z58</f>
        <v>0</v>
      </c>
      <c r="I91" s="329"/>
      <c r="J91" s="329"/>
      <c r="K91" s="329"/>
    </row>
    <row r="92" spans="1:11" ht="22.5" x14ac:dyDescent="0.25">
      <c r="A92" s="330" t="s">
        <v>6</v>
      </c>
      <c r="B92" s="330"/>
      <c r="C92" s="331">
        <f>'EID List'!C57</f>
        <v>0</v>
      </c>
      <c r="D92" s="331"/>
      <c r="E92" s="331"/>
      <c r="G92" s="332" t="s">
        <v>6</v>
      </c>
      <c r="H92" s="333"/>
      <c r="I92" s="331">
        <f>'EID List'!C58</f>
        <v>0</v>
      </c>
      <c r="J92" s="331"/>
      <c r="K92" s="331"/>
    </row>
    <row r="93" spans="1:11" ht="22.5" x14ac:dyDescent="0.3">
      <c r="A93" s="326" t="s">
        <v>42</v>
      </c>
      <c r="B93" s="326"/>
      <c r="C93" s="328">
        <f>'EID List'!$L$3</f>
        <v>0</v>
      </c>
      <c r="D93" s="328"/>
      <c r="E93" s="328"/>
      <c r="G93" s="63" t="s">
        <v>42</v>
      </c>
      <c r="H93" s="64"/>
      <c r="I93" s="328">
        <f>'EID List'!$L$3</f>
        <v>0</v>
      </c>
      <c r="J93" s="328"/>
      <c r="K93" s="328"/>
    </row>
    <row r="94" spans="1:11" ht="22.5" x14ac:dyDescent="0.3">
      <c r="A94" s="326" t="s">
        <v>40</v>
      </c>
      <c r="B94" s="326"/>
      <c r="C94" s="328">
        <f>'EID List'!$F$4</f>
        <v>0</v>
      </c>
      <c r="D94" s="328"/>
      <c r="E94" s="328"/>
      <c r="G94" s="326" t="s">
        <v>41</v>
      </c>
      <c r="H94" s="326"/>
      <c r="I94" s="328">
        <f>'EID List'!$F$4</f>
        <v>0</v>
      </c>
      <c r="J94" s="328"/>
      <c r="K94" s="328"/>
    </row>
    <row r="95" spans="1:11" ht="23.25" thickBot="1" x14ac:dyDescent="0.35">
      <c r="A95" s="3" t="s">
        <v>0</v>
      </c>
      <c r="B95" s="327">
        <f ca="1">TODAY()</f>
        <v>44621</v>
      </c>
      <c r="C95" s="327"/>
      <c r="D95" s="56" t="s">
        <v>61</v>
      </c>
      <c r="E95" s="65">
        <f>'EID List'!$G$7</f>
        <v>0</v>
      </c>
      <c r="G95" s="3" t="s">
        <v>0</v>
      </c>
      <c r="H95" s="327">
        <f ca="1">TODAY()</f>
        <v>44621</v>
      </c>
      <c r="I95" s="327"/>
      <c r="J95" s="56" t="s">
        <v>61</v>
      </c>
      <c r="K95" s="65">
        <f>'EID List'!$G$7</f>
        <v>0</v>
      </c>
    </row>
    <row r="96" spans="1:11" ht="25.5" customHeight="1" x14ac:dyDescent="0.3">
      <c r="A96" s="3"/>
      <c r="B96" s="64"/>
      <c r="C96" s="64"/>
      <c r="G96" s="3"/>
      <c r="H96" s="64"/>
      <c r="I96" s="64"/>
    </row>
    <row r="97" spans="1:11" ht="25.5" x14ac:dyDescent="0.25">
      <c r="A97" s="66">
        <f>A91+2</f>
        <v>32</v>
      </c>
      <c r="B97" s="329">
        <f>'EID List'!Z68</f>
        <v>0</v>
      </c>
      <c r="C97" s="329"/>
      <c r="D97" s="329"/>
      <c r="E97" s="329"/>
      <c r="G97" s="66">
        <f>A97+1</f>
        <v>33</v>
      </c>
      <c r="H97" s="329">
        <f>'EID List'!Z69</f>
        <v>0</v>
      </c>
      <c r="I97" s="329"/>
      <c r="J97" s="329"/>
      <c r="K97" s="329"/>
    </row>
    <row r="98" spans="1:11" ht="22.5" x14ac:dyDescent="0.25">
      <c r="A98" s="330" t="s">
        <v>6</v>
      </c>
      <c r="B98" s="330"/>
      <c r="C98" s="331">
        <f>'EID List'!C68</f>
        <v>0</v>
      </c>
      <c r="D98" s="331"/>
      <c r="E98" s="331"/>
      <c r="G98" s="332" t="s">
        <v>6</v>
      </c>
      <c r="H98" s="333"/>
      <c r="I98" s="331">
        <f>'EID List'!C69</f>
        <v>0</v>
      </c>
      <c r="J98" s="331"/>
      <c r="K98" s="331"/>
    </row>
    <row r="99" spans="1:11" ht="22.5" x14ac:dyDescent="0.3">
      <c r="A99" s="326" t="s">
        <v>42</v>
      </c>
      <c r="B99" s="326"/>
      <c r="C99" s="328">
        <f>'EID List'!$L$3</f>
        <v>0</v>
      </c>
      <c r="D99" s="328"/>
      <c r="E99" s="328"/>
      <c r="G99" s="63" t="s">
        <v>42</v>
      </c>
      <c r="H99" s="64"/>
      <c r="I99" s="328">
        <f>'EID List'!$L$3</f>
        <v>0</v>
      </c>
      <c r="J99" s="328"/>
      <c r="K99" s="328"/>
    </row>
    <row r="100" spans="1:11" ht="22.5" x14ac:dyDescent="0.3">
      <c r="A100" s="326" t="s">
        <v>40</v>
      </c>
      <c r="B100" s="326"/>
      <c r="C100" s="328">
        <f>'EID List'!$F$4</f>
        <v>0</v>
      </c>
      <c r="D100" s="328"/>
      <c r="E100" s="328"/>
      <c r="G100" s="326" t="s">
        <v>41</v>
      </c>
      <c r="H100" s="326"/>
      <c r="I100" s="328">
        <f>'EID List'!$F$4</f>
        <v>0</v>
      </c>
      <c r="J100" s="328"/>
      <c r="K100" s="328"/>
    </row>
    <row r="101" spans="1:11" ht="23.25" thickBot="1" x14ac:dyDescent="0.35">
      <c r="A101" s="3" t="s">
        <v>0</v>
      </c>
      <c r="B101" s="327">
        <f ca="1">TODAY()</f>
        <v>44621</v>
      </c>
      <c r="C101" s="327"/>
      <c r="D101" s="56" t="s">
        <v>61</v>
      </c>
      <c r="E101" s="65">
        <f>'EID List'!$G$7</f>
        <v>0</v>
      </c>
      <c r="G101" s="3" t="s">
        <v>0</v>
      </c>
      <c r="H101" s="327">
        <f ca="1">TODAY()</f>
        <v>44621</v>
      </c>
      <c r="I101" s="327"/>
      <c r="J101" s="56" t="s">
        <v>61</v>
      </c>
      <c r="K101" s="65">
        <f>'EID List'!$G$7</f>
        <v>0</v>
      </c>
    </row>
    <row r="102" spans="1:11" ht="23.45" customHeight="1" x14ac:dyDescent="0.3">
      <c r="A102" s="3"/>
      <c r="B102" s="64"/>
      <c r="C102" s="64"/>
      <c r="G102" s="3"/>
      <c r="H102" s="64"/>
      <c r="I102" s="64"/>
    </row>
    <row r="103" spans="1:11" ht="25.5" x14ac:dyDescent="0.25">
      <c r="A103" s="66">
        <f>A97+2</f>
        <v>34</v>
      </c>
      <c r="B103" s="329">
        <f>'EID List'!Z70</f>
        <v>0</v>
      </c>
      <c r="C103" s="329"/>
      <c r="D103" s="329"/>
      <c r="E103" s="329"/>
      <c r="G103" s="66">
        <f>G97+2</f>
        <v>35</v>
      </c>
      <c r="H103" s="329">
        <f>'EID List'!Z71</f>
        <v>0</v>
      </c>
      <c r="I103" s="329"/>
      <c r="J103" s="329"/>
      <c r="K103" s="329"/>
    </row>
    <row r="104" spans="1:11" ht="22.5" x14ac:dyDescent="0.25">
      <c r="A104" s="330" t="s">
        <v>6</v>
      </c>
      <c r="B104" s="330"/>
      <c r="C104" s="331">
        <f>'EID List'!C70</f>
        <v>0</v>
      </c>
      <c r="D104" s="331"/>
      <c r="E104" s="331"/>
      <c r="G104" s="332" t="s">
        <v>6</v>
      </c>
      <c r="H104" s="333"/>
      <c r="I104" s="331">
        <f>'EID List'!C71</f>
        <v>0</v>
      </c>
      <c r="J104" s="331"/>
      <c r="K104" s="331"/>
    </row>
    <row r="105" spans="1:11" ht="22.5" x14ac:dyDescent="0.3">
      <c r="A105" s="326" t="s">
        <v>42</v>
      </c>
      <c r="B105" s="326"/>
      <c r="C105" s="328">
        <f>'EID List'!$L$3</f>
        <v>0</v>
      </c>
      <c r="D105" s="328"/>
      <c r="E105" s="328"/>
      <c r="G105" s="63" t="s">
        <v>42</v>
      </c>
      <c r="H105" s="64"/>
      <c r="I105" s="328">
        <f>'EID List'!$L$3</f>
        <v>0</v>
      </c>
      <c r="J105" s="328"/>
      <c r="K105" s="328"/>
    </row>
    <row r="106" spans="1:11" ht="22.5" x14ac:dyDescent="0.3">
      <c r="A106" s="326" t="s">
        <v>40</v>
      </c>
      <c r="B106" s="326"/>
      <c r="C106" s="328">
        <f>'EID List'!$F$4</f>
        <v>0</v>
      </c>
      <c r="D106" s="328"/>
      <c r="E106" s="328"/>
      <c r="G106" s="326" t="s">
        <v>41</v>
      </c>
      <c r="H106" s="326"/>
      <c r="I106" s="328">
        <f>'EID List'!$F$4</f>
        <v>0</v>
      </c>
      <c r="J106" s="328"/>
      <c r="K106" s="328"/>
    </row>
    <row r="107" spans="1:11" ht="23.25" thickBot="1" x14ac:dyDescent="0.35">
      <c r="A107" s="3" t="s">
        <v>0</v>
      </c>
      <c r="B107" s="327">
        <f ca="1">TODAY()</f>
        <v>44621</v>
      </c>
      <c r="C107" s="327"/>
      <c r="D107" s="56" t="s">
        <v>61</v>
      </c>
      <c r="E107" s="65">
        <f>'EID List'!$AI$4</f>
        <v>0</v>
      </c>
      <c r="G107" s="3" t="s">
        <v>0</v>
      </c>
      <c r="H107" s="327">
        <f ca="1">TODAY()</f>
        <v>44621</v>
      </c>
      <c r="I107" s="327"/>
      <c r="J107" s="56" t="s">
        <v>61</v>
      </c>
      <c r="K107" s="65">
        <f>'EID List'!$AI$4</f>
        <v>0</v>
      </c>
    </row>
    <row r="108" spans="1:11" ht="24.95" customHeight="1" x14ac:dyDescent="0.3">
      <c r="A108" s="3"/>
      <c r="B108" s="64"/>
      <c r="C108" s="64"/>
      <c r="G108" s="3"/>
      <c r="H108" s="64"/>
      <c r="I108" s="64"/>
    </row>
    <row r="109" spans="1:11" ht="25.5" x14ac:dyDescent="0.25">
      <c r="A109" s="66">
        <f>A103+2</f>
        <v>36</v>
      </c>
      <c r="B109" s="329">
        <f>'EID List'!Z72</f>
        <v>0</v>
      </c>
      <c r="C109" s="329"/>
      <c r="D109" s="329"/>
      <c r="E109" s="329"/>
      <c r="G109" s="66">
        <f>A109+1</f>
        <v>37</v>
      </c>
      <c r="H109" s="329">
        <f>'EID List'!Z73</f>
        <v>0</v>
      </c>
      <c r="I109" s="329"/>
      <c r="J109" s="329"/>
      <c r="K109" s="329"/>
    </row>
    <row r="110" spans="1:11" ht="22.5" x14ac:dyDescent="0.25">
      <c r="A110" s="330" t="s">
        <v>6</v>
      </c>
      <c r="B110" s="330"/>
      <c r="C110" s="331">
        <f>'EID List'!C72</f>
        <v>0</v>
      </c>
      <c r="D110" s="331"/>
      <c r="E110" s="331"/>
      <c r="G110" s="332" t="s">
        <v>6</v>
      </c>
      <c r="H110" s="333"/>
      <c r="I110" s="331">
        <f>'EID List'!C73</f>
        <v>0</v>
      </c>
      <c r="J110" s="331"/>
      <c r="K110" s="331"/>
    </row>
    <row r="111" spans="1:11" ht="22.5" x14ac:dyDescent="0.3">
      <c r="A111" s="326" t="s">
        <v>42</v>
      </c>
      <c r="B111" s="326"/>
      <c r="C111" s="328">
        <f>'EID List'!$L$3</f>
        <v>0</v>
      </c>
      <c r="D111" s="328"/>
      <c r="E111" s="328"/>
      <c r="G111" s="63" t="s">
        <v>42</v>
      </c>
      <c r="H111" s="64"/>
      <c r="I111" s="328">
        <f>'EID List'!$L$3</f>
        <v>0</v>
      </c>
      <c r="J111" s="328"/>
      <c r="K111" s="328"/>
    </row>
    <row r="112" spans="1:11" ht="22.5" x14ac:dyDescent="0.3">
      <c r="A112" s="326" t="s">
        <v>40</v>
      </c>
      <c r="B112" s="326"/>
      <c r="C112" s="328">
        <f>'EID List'!$F$4</f>
        <v>0</v>
      </c>
      <c r="D112" s="328"/>
      <c r="E112" s="328"/>
      <c r="G112" s="326" t="s">
        <v>41</v>
      </c>
      <c r="H112" s="326"/>
      <c r="I112" s="328">
        <f>'EID List'!$F$4</f>
        <v>0</v>
      </c>
      <c r="J112" s="328"/>
      <c r="K112" s="328"/>
    </row>
    <row r="113" spans="1:11" ht="23.25" thickBot="1" x14ac:dyDescent="0.35">
      <c r="A113" s="3" t="s">
        <v>0</v>
      </c>
      <c r="B113" s="327">
        <f ca="1">TODAY()</f>
        <v>44621</v>
      </c>
      <c r="C113" s="327"/>
      <c r="D113" s="56" t="s">
        <v>61</v>
      </c>
      <c r="E113" s="65">
        <f>'EID List'!$G$7</f>
        <v>0</v>
      </c>
      <c r="G113" s="3" t="s">
        <v>0</v>
      </c>
      <c r="H113" s="327">
        <f ca="1">TODAY()</f>
        <v>44621</v>
      </c>
      <c r="I113" s="327"/>
      <c r="J113" s="56" t="s">
        <v>61</v>
      </c>
      <c r="K113" s="65">
        <f>'EID List'!$G$7</f>
        <v>0</v>
      </c>
    </row>
    <row r="114" spans="1:11" ht="24.95" customHeight="1" x14ac:dyDescent="0.3">
      <c r="A114" s="3"/>
      <c r="B114" s="64"/>
      <c r="C114" s="64"/>
      <c r="G114" s="3"/>
      <c r="H114" s="64"/>
      <c r="I114" s="64"/>
    </row>
    <row r="115" spans="1:11" ht="25.5" x14ac:dyDescent="0.25">
      <c r="A115" s="66">
        <f>A109+2</f>
        <v>38</v>
      </c>
      <c r="B115" s="329">
        <f>'EID List'!Z74</f>
        <v>0</v>
      </c>
      <c r="C115" s="329"/>
      <c r="D115" s="329"/>
      <c r="E115" s="329"/>
      <c r="G115" s="66">
        <f>G109+2</f>
        <v>39</v>
      </c>
      <c r="H115" s="329">
        <f>'EID List'!Z75</f>
        <v>0</v>
      </c>
      <c r="I115" s="329"/>
      <c r="J115" s="329"/>
      <c r="K115" s="329"/>
    </row>
    <row r="116" spans="1:11" ht="22.5" x14ac:dyDescent="0.25">
      <c r="A116" s="330" t="s">
        <v>6</v>
      </c>
      <c r="B116" s="330"/>
      <c r="C116" s="331">
        <f>'EID List'!C74</f>
        <v>0</v>
      </c>
      <c r="D116" s="331"/>
      <c r="E116" s="331"/>
      <c r="G116" s="330" t="s">
        <v>6</v>
      </c>
      <c r="H116" s="330"/>
      <c r="I116" s="331">
        <f>'EID List'!C75</f>
        <v>0</v>
      </c>
      <c r="J116" s="331"/>
      <c r="K116" s="331"/>
    </row>
    <row r="117" spans="1:11" ht="22.5" x14ac:dyDescent="0.3">
      <c r="A117" s="326" t="s">
        <v>42</v>
      </c>
      <c r="B117" s="326"/>
      <c r="C117" s="328">
        <f>'EID List'!$L$3</f>
        <v>0</v>
      </c>
      <c r="D117" s="328"/>
      <c r="E117" s="328"/>
      <c r="G117" s="326" t="s">
        <v>42</v>
      </c>
      <c r="H117" s="326"/>
      <c r="I117" s="328">
        <f>'EID List'!$L$3</f>
        <v>0</v>
      </c>
      <c r="J117" s="328"/>
      <c r="K117" s="328"/>
    </row>
    <row r="118" spans="1:11" ht="22.5" x14ac:dyDescent="0.3">
      <c r="A118" s="326" t="s">
        <v>40</v>
      </c>
      <c r="B118" s="326"/>
      <c r="C118" s="328">
        <f>'EID List'!$F$4</f>
        <v>0</v>
      </c>
      <c r="D118" s="328"/>
      <c r="E118" s="328"/>
      <c r="G118" s="326" t="s">
        <v>41</v>
      </c>
      <c r="H118" s="326"/>
      <c r="I118" s="328">
        <f>'EID List'!$F$4</f>
        <v>0</v>
      </c>
      <c r="J118" s="328"/>
      <c r="K118" s="328"/>
    </row>
    <row r="119" spans="1:11" ht="23.25" thickBot="1" x14ac:dyDescent="0.35">
      <c r="A119" s="3" t="s">
        <v>0</v>
      </c>
      <c r="B119" s="327">
        <f ca="1">TODAY()</f>
        <v>44621</v>
      </c>
      <c r="C119" s="327"/>
      <c r="D119" s="56" t="s">
        <v>61</v>
      </c>
      <c r="E119" s="65">
        <f>'EID List'!$G$7</f>
        <v>0</v>
      </c>
      <c r="G119" s="3" t="s">
        <v>0</v>
      </c>
      <c r="H119" s="327">
        <f ca="1">TODAY()</f>
        <v>44621</v>
      </c>
      <c r="I119" s="327"/>
      <c r="J119" s="56" t="s">
        <v>61</v>
      </c>
      <c r="K119" s="65">
        <f>'EID List'!$G$7</f>
        <v>0</v>
      </c>
    </row>
    <row r="120" spans="1:11" ht="25.5" x14ac:dyDescent="0.25">
      <c r="A120" s="66">
        <f>A115+2</f>
        <v>40</v>
      </c>
      <c r="B120" s="329">
        <f>'EID List'!Z76</f>
        <v>0</v>
      </c>
      <c r="C120" s="329"/>
      <c r="D120" s="329"/>
      <c r="E120" s="329"/>
      <c r="G120" s="66">
        <f>A120+1</f>
        <v>41</v>
      </c>
      <c r="H120" s="329">
        <f>'EID List'!Z77</f>
        <v>0</v>
      </c>
      <c r="I120" s="329"/>
      <c r="J120" s="329"/>
      <c r="K120" s="329"/>
    </row>
    <row r="121" spans="1:11" ht="22.5" x14ac:dyDescent="0.25">
      <c r="A121" s="330" t="s">
        <v>6</v>
      </c>
      <c r="B121" s="330"/>
      <c r="C121" s="331">
        <f>'EID List'!C76</f>
        <v>0</v>
      </c>
      <c r="D121" s="331"/>
      <c r="E121" s="331"/>
      <c r="G121" s="332" t="s">
        <v>6</v>
      </c>
      <c r="H121" s="333"/>
      <c r="I121" s="331">
        <f>'EID List'!C77</f>
        <v>0</v>
      </c>
      <c r="J121" s="331"/>
      <c r="K121" s="331"/>
    </row>
    <row r="122" spans="1:11" ht="22.5" x14ac:dyDescent="0.3">
      <c r="A122" s="326" t="s">
        <v>42</v>
      </c>
      <c r="B122" s="326"/>
      <c r="C122" s="328">
        <f>'EID List'!$L$3</f>
        <v>0</v>
      </c>
      <c r="D122" s="328"/>
      <c r="E122" s="328"/>
      <c r="G122" s="63" t="s">
        <v>42</v>
      </c>
      <c r="H122" s="64"/>
      <c r="I122" s="328">
        <f>'EID List'!$L$3</f>
        <v>0</v>
      </c>
      <c r="J122" s="328"/>
      <c r="K122" s="328"/>
    </row>
    <row r="123" spans="1:11" ht="22.5" x14ac:dyDescent="0.3">
      <c r="A123" s="326" t="s">
        <v>40</v>
      </c>
      <c r="B123" s="326"/>
      <c r="C123" s="328">
        <f>'EID List'!$F$4</f>
        <v>0</v>
      </c>
      <c r="D123" s="328"/>
      <c r="E123" s="328"/>
      <c r="G123" s="326" t="s">
        <v>41</v>
      </c>
      <c r="H123" s="326"/>
      <c r="I123" s="328">
        <f>'EID List'!$F$4</f>
        <v>0</v>
      </c>
      <c r="J123" s="328"/>
      <c r="K123" s="328"/>
    </row>
    <row r="124" spans="1:11" ht="23.25" thickBot="1" x14ac:dyDescent="0.35">
      <c r="A124" s="3" t="s">
        <v>0</v>
      </c>
      <c r="B124" s="327">
        <f ca="1">TODAY()</f>
        <v>44621</v>
      </c>
      <c r="C124" s="327"/>
      <c r="D124" s="56" t="s">
        <v>61</v>
      </c>
      <c r="E124" s="65">
        <f>'EID List'!$G$7</f>
        <v>0</v>
      </c>
      <c r="G124" s="3" t="s">
        <v>0</v>
      </c>
      <c r="H124" s="327">
        <f ca="1">TODAY()</f>
        <v>44621</v>
      </c>
      <c r="I124" s="327"/>
      <c r="J124" s="56" t="s">
        <v>61</v>
      </c>
      <c r="K124" s="65">
        <f>'EID List'!$G$7</f>
        <v>0</v>
      </c>
    </row>
    <row r="125" spans="1:11" ht="25.5" customHeight="1" x14ac:dyDescent="0.3">
      <c r="A125" s="3"/>
      <c r="B125" s="64"/>
      <c r="C125" s="64"/>
      <c r="G125" s="3"/>
      <c r="H125" s="64"/>
      <c r="I125" s="64"/>
    </row>
    <row r="126" spans="1:11" ht="25.5" x14ac:dyDescent="0.25">
      <c r="A126" s="66">
        <f>A120+2</f>
        <v>42</v>
      </c>
      <c r="B126" s="329">
        <f>'EID List'!Z78</f>
        <v>0</v>
      </c>
      <c r="C126" s="329"/>
      <c r="D126" s="329"/>
      <c r="E126" s="329"/>
      <c r="G126" s="66">
        <f>G120+2</f>
        <v>43</v>
      </c>
      <c r="H126" s="329">
        <f>'EID List'!Z79</f>
        <v>0</v>
      </c>
      <c r="I126" s="329"/>
      <c r="J126" s="329"/>
      <c r="K126" s="329"/>
    </row>
    <row r="127" spans="1:11" ht="22.5" x14ac:dyDescent="0.25">
      <c r="A127" s="330" t="s">
        <v>6</v>
      </c>
      <c r="B127" s="330"/>
      <c r="C127" s="331">
        <f>'EID List'!C78</f>
        <v>0</v>
      </c>
      <c r="D127" s="331"/>
      <c r="E127" s="331"/>
      <c r="G127" s="332" t="s">
        <v>6</v>
      </c>
      <c r="H127" s="333"/>
      <c r="I127" s="331">
        <f>'EID List'!C79</f>
        <v>0</v>
      </c>
      <c r="J127" s="331"/>
      <c r="K127" s="331"/>
    </row>
    <row r="128" spans="1:11" ht="22.5" x14ac:dyDescent="0.3">
      <c r="A128" s="326" t="s">
        <v>42</v>
      </c>
      <c r="B128" s="326"/>
      <c r="C128" s="328">
        <f>'EID List'!$L$3</f>
        <v>0</v>
      </c>
      <c r="D128" s="328"/>
      <c r="E128" s="328"/>
      <c r="G128" s="63" t="s">
        <v>42</v>
      </c>
      <c r="H128" s="64"/>
      <c r="I128" s="328">
        <f>'EID List'!$L$3</f>
        <v>0</v>
      </c>
      <c r="J128" s="328"/>
      <c r="K128" s="328"/>
    </row>
    <row r="129" spans="1:11" ht="22.5" x14ac:dyDescent="0.3">
      <c r="A129" s="326" t="s">
        <v>40</v>
      </c>
      <c r="B129" s="326"/>
      <c r="C129" s="328">
        <f>'EID List'!$F$4</f>
        <v>0</v>
      </c>
      <c r="D129" s="328"/>
      <c r="E129" s="328"/>
      <c r="G129" s="326" t="s">
        <v>41</v>
      </c>
      <c r="H129" s="326"/>
      <c r="I129" s="328">
        <f>'EID List'!$F$4</f>
        <v>0</v>
      </c>
      <c r="J129" s="328"/>
      <c r="K129" s="328"/>
    </row>
    <row r="130" spans="1:11" ht="23.25" thickBot="1" x14ac:dyDescent="0.35">
      <c r="A130" s="3" t="s">
        <v>0</v>
      </c>
      <c r="B130" s="327">
        <f ca="1">TODAY()</f>
        <v>44621</v>
      </c>
      <c r="C130" s="327"/>
      <c r="D130" s="56" t="s">
        <v>61</v>
      </c>
      <c r="E130" s="65">
        <f>'EID List'!$G$7</f>
        <v>0</v>
      </c>
      <c r="G130" s="3" t="s">
        <v>0</v>
      </c>
      <c r="H130" s="327">
        <f ca="1">TODAY()</f>
        <v>44621</v>
      </c>
      <c r="I130" s="327"/>
      <c r="J130" s="56" t="s">
        <v>61</v>
      </c>
      <c r="K130" s="65">
        <f>'EID List'!$G$7</f>
        <v>0</v>
      </c>
    </row>
    <row r="131" spans="1:11" ht="24" customHeight="1" x14ac:dyDescent="0.3">
      <c r="A131" s="3"/>
      <c r="B131" s="64"/>
      <c r="C131" s="64"/>
      <c r="G131" s="3"/>
      <c r="H131" s="64"/>
      <c r="I131" s="64"/>
    </row>
    <row r="132" spans="1:11" ht="25.5" x14ac:dyDescent="0.25">
      <c r="A132" s="66">
        <f>A126+2</f>
        <v>44</v>
      </c>
      <c r="B132" s="329">
        <f>'EID List'!Z80</f>
        <v>0</v>
      </c>
      <c r="C132" s="329"/>
      <c r="D132" s="329"/>
      <c r="E132" s="329"/>
      <c r="G132" s="66">
        <f>G126+2</f>
        <v>45</v>
      </c>
      <c r="H132" s="329">
        <f>'EID List'!Z81</f>
        <v>0</v>
      </c>
      <c r="I132" s="329"/>
      <c r="J132" s="329"/>
      <c r="K132" s="329"/>
    </row>
    <row r="133" spans="1:11" ht="22.5" x14ac:dyDescent="0.25">
      <c r="A133" s="330" t="s">
        <v>6</v>
      </c>
      <c r="B133" s="330"/>
      <c r="C133" s="331">
        <f>'EID List'!C80</f>
        <v>0</v>
      </c>
      <c r="D133" s="331"/>
      <c r="E133" s="331"/>
      <c r="G133" s="332" t="s">
        <v>6</v>
      </c>
      <c r="H133" s="333"/>
      <c r="I133" s="331">
        <f>'EID List'!C81</f>
        <v>0</v>
      </c>
      <c r="J133" s="331"/>
      <c r="K133" s="331"/>
    </row>
    <row r="134" spans="1:11" ht="22.5" x14ac:dyDescent="0.3">
      <c r="A134" s="326" t="s">
        <v>42</v>
      </c>
      <c r="B134" s="326"/>
      <c r="C134" s="328">
        <f>'EID List'!$L$3</f>
        <v>0</v>
      </c>
      <c r="D134" s="328"/>
      <c r="E134" s="328"/>
      <c r="G134" s="63" t="s">
        <v>42</v>
      </c>
      <c r="H134" s="64"/>
      <c r="I134" s="328">
        <f>'EID List'!$L$3</f>
        <v>0</v>
      </c>
      <c r="J134" s="328"/>
      <c r="K134" s="328"/>
    </row>
    <row r="135" spans="1:11" ht="22.5" x14ac:dyDescent="0.3">
      <c r="A135" s="326" t="s">
        <v>40</v>
      </c>
      <c r="B135" s="326"/>
      <c r="C135" s="328">
        <f>'EID List'!$F$4</f>
        <v>0</v>
      </c>
      <c r="D135" s="328"/>
      <c r="E135" s="328"/>
      <c r="G135" s="326" t="s">
        <v>41</v>
      </c>
      <c r="H135" s="326"/>
      <c r="I135" s="328">
        <f>'EID List'!$F$4</f>
        <v>0</v>
      </c>
      <c r="J135" s="328"/>
      <c r="K135" s="328"/>
    </row>
    <row r="136" spans="1:11" ht="23.25" thickBot="1" x14ac:dyDescent="0.35">
      <c r="A136" s="3" t="s">
        <v>0</v>
      </c>
      <c r="B136" s="327">
        <f ca="1">TODAY()</f>
        <v>44621</v>
      </c>
      <c r="C136" s="327"/>
      <c r="D136" s="56" t="s">
        <v>61</v>
      </c>
      <c r="E136" s="65">
        <f>'EID List'!$G$7</f>
        <v>0</v>
      </c>
      <c r="G136" s="3" t="s">
        <v>0</v>
      </c>
      <c r="H136" s="327">
        <f ca="1">TODAY()</f>
        <v>44621</v>
      </c>
      <c r="I136" s="327"/>
      <c r="J136" s="56" t="s">
        <v>61</v>
      </c>
      <c r="K136" s="65">
        <f>'EID List'!$G$7</f>
        <v>0</v>
      </c>
    </row>
    <row r="137" spans="1:11" ht="24.95" customHeight="1" x14ac:dyDescent="0.3">
      <c r="A137" s="3"/>
      <c r="B137" s="64"/>
      <c r="C137" s="64"/>
      <c r="G137" s="3"/>
      <c r="H137" s="64"/>
      <c r="I137" s="64"/>
    </row>
    <row r="138" spans="1:11" ht="25.5" x14ac:dyDescent="0.25">
      <c r="A138" s="66">
        <f>A132+2</f>
        <v>46</v>
      </c>
      <c r="B138" s="329">
        <f>'EID List'!Z82</f>
        <v>0</v>
      </c>
      <c r="C138" s="329"/>
      <c r="D138" s="329"/>
      <c r="E138" s="329"/>
      <c r="G138" s="66">
        <f>A138+1</f>
        <v>47</v>
      </c>
      <c r="H138" s="329">
        <f>'EID List'!Z83</f>
        <v>0</v>
      </c>
      <c r="I138" s="329"/>
      <c r="J138" s="329"/>
      <c r="K138" s="329"/>
    </row>
    <row r="139" spans="1:11" ht="22.5" x14ac:dyDescent="0.25">
      <c r="A139" s="330" t="s">
        <v>6</v>
      </c>
      <c r="B139" s="330"/>
      <c r="C139" s="331">
        <f>'EID List'!C82</f>
        <v>0</v>
      </c>
      <c r="D139" s="331"/>
      <c r="E139" s="331"/>
      <c r="G139" s="332" t="s">
        <v>6</v>
      </c>
      <c r="H139" s="333"/>
      <c r="I139" s="331">
        <f>'EID List'!C83</f>
        <v>0</v>
      </c>
      <c r="J139" s="331"/>
      <c r="K139" s="331"/>
    </row>
    <row r="140" spans="1:11" ht="22.5" x14ac:dyDescent="0.3">
      <c r="A140" s="326" t="s">
        <v>42</v>
      </c>
      <c r="B140" s="326"/>
      <c r="C140" s="328">
        <f>'EID List'!$L$3</f>
        <v>0</v>
      </c>
      <c r="D140" s="328"/>
      <c r="E140" s="328"/>
      <c r="G140" s="63" t="s">
        <v>42</v>
      </c>
      <c r="H140" s="64"/>
      <c r="I140" s="328">
        <f>'EID List'!$L$3</f>
        <v>0</v>
      </c>
      <c r="J140" s="328"/>
      <c r="K140" s="328"/>
    </row>
    <row r="141" spans="1:11" ht="22.5" x14ac:dyDescent="0.3">
      <c r="A141" s="326" t="s">
        <v>40</v>
      </c>
      <c r="B141" s="326"/>
      <c r="C141" s="328">
        <f>'EID List'!$F$4</f>
        <v>0</v>
      </c>
      <c r="D141" s="328"/>
      <c r="E141" s="328"/>
      <c r="G141" s="326" t="s">
        <v>41</v>
      </c>
      <c r="H141" s="326"/>
      <c r="I141" s="328">
        <f>'EID List'!$F$4</f>
        <v>0</v>
      </c>
      <c r="J141" s="328"/>
      <c r="K141" s="328"/>
    </row>
    <row r="142" spans="1:11" ht="23.25" thickBot="1" x14ac:dyDescent="0.35">
      <c r="A142" s="3" t="s">
        <v>0</v>
      </c>
      <c r="B142" s="327">
        <f ca="1">TODAY()</f>
        <v>44621</v>
      </c>
      <c r="C142" s="327"/>
      <c r="D142" s="56" t="s">
        <v>61</v>
      </c>
      <c r="E142" s="65">
        <f>'EID List'!$G$7</f>
        <v>0</v>
      </c>
      <c r="G142" s="3" t="s">
        <v>0</v>
      </c>
      <c r="H142" s="327">
        <f ca="1">TODAY()</f>
        <v>44621</v>
      </c>
      <c r="I142" s="327"/>
      <c r="J142" s="56" t="s">
        <v>61</v>
      </c>
      <c r="K142" s="65">
        <f>'EID List'!$G$7</f>
        <v>0</v>
      </c>
    </row>
    <row r="143" spans="1:11" ht="24.95" customHeight="1" x14ac:dyDescent="0.3">
      <c r="A143" s="3"/>
      <c r="B143" s="64"/>
      <c r="C143" s="64"/>
      <c r="G143" s="3"/>
      <c r="H143" s="64"/>
      <c r="I143" s="64"/>
    </row>
    <row r="144" spans="1:11" ht="25.5" x14ac:dyDescent="0.25">
      <c r="A144" s="66">
        <f>A138+2</f>
        <v>48</v>
      </c>
      <c r="B144" s="329">
        <f>'EID List'!Z84</f>
        <v>0</v>
      </c>
      <c r="C144" s="329"/>
      <c r="D144" s="329"/>
      <c r="E144" s="329"/>
      <c r="G144" s="66">
        <f>G138+2</f>
        <v>49</v>
      </c>
      <c r="H144" s="329">
        <f>'EID List'!Z85</f>
        <v>0</v>
      </c>
      <c r="I144" s="329"/>
      <c r="J144" s="329"/>
      <c r="K144" s="329"/>
    </row>
    <row r="145" spans="1:11" ht="22.5" x14ac:dyDescent="0.25">
      <c r="A145" s="330" t="s">
        <v>6</v>
      </c>
      <c r="B145" s="330"/>
      <c r="C145" s="331">
        <f>'EID List'!C84</f>
        <v>0</v>
      </c>
      <c r="D145" s="331"/>
      <c r="E145" s="331"/>
      <c r="G145" s="332" t="s">
        <v>6</v>
      </c>
      <c r="H145" s="333"/>
      <c r="I145" s="331">
        <f>'EID List'!C85</f>
        <v>0</v>
      </c>
      <c r="J145" s="331"/>
      <c r="K145" s="331"/>
    </row>
    <row r="146" spans="1:11" ht="22.5" x14ac:dyDescent="0.3">
      <c r="A146" s="326" t="s">
        <v>42</v>
      </c>
      <c r="B146" s="326"/>
      <c r="C146" s="328">
        <f>'EID List'!$L$3</f>
        <v>0</v>
      </c>
      <c r="D146" s="328"/>
      <c r="E146" s="328"/>
      <c r="G146" s="63" t="s">
        <v>42</v>
      </c>
      <c r="H146" s="64"/>
      <c r="I146" s="328">
        <f>'EID List'!$L$3</f>
        <v>0</v>
      </c>
      <c r="J146" s="328"/>
      <c r="K146" s="328"/>
    </row>
    <row r="147" spans="1:11" ht="22.5" x14ac:dyDescent="0.3">
      <c r="A147" s="326" t="s">
        <v>40</v>
      </c>
      <c r="B147" s="326"/>
      <c r="C147" s="328">
        <f>'EID List'!$F$4</f>
        <v>0</v>
      </c>
      <c r="D147" s="328"/>
      <c r="E147" s="328"/>
      <c r="G147" s="326" t="s">
        <v>41</v>
      </c>
      <c r="H147" s="326"/>
      <c r="I147" s="328">
        <f>'EID List'!$F$4</f>
        <v>0</v>
      </c>
      <c r="J147" s="328"/>
      <c r="K147" s="328"/>
    </row>
    <row r="148" spans="1:11" ht="23.25" thickBot="1" x14ac:dyDescent="0.35">
      <c r="A148" s="3" t="s">
        <v>0</v>
      </c>
      <c r="B148" s="327">
        <f ca="1">TODAY()</f>
        <v>44621</v>
      </c>
      <c r="C148" s="327"/>
      <c r="D148" s="56" t="s">
        <v>61</v>
      </c>
      <c r="E148" s="65">
        <f>'EID List'!$G$7</f>
        <v>0</v>
      </c>
      <c r="G148" s="3" t="s">
        <v>0</v>
      </c>
      <c r="H148" s="327">
        <f ca="1">TODAY()</f>
        <v>44621</v>
      </c>
      <c r="I148" s="327"/>
      <c r="J148" s="56" t="s">
        <v>61</v>
      </c>
      <c r="K148" s="65">
        <f>'EID List'!$G$7</f>
        <v>0</v>
      </c>
    </row>
    <row r="149" spans="1:11" ht="25.5" x14ac:dyDescent="0.25">
      <c r="A149" s="66">
        <f>A144+2</f>
        <v>50</v>
      </c>
      <c r="B149" s="329">
        <f>'EID List'!Z86</f>
        <v>0</v>
      </c>
      <c r="C149" s="329"/>
      <c r="D149" s="329"/>
      <c r="E149" s="329"/>
      <c r="G149" s="66">
        <f>A149+1</f>
        <v>51</v>
      </c>
      <c r="H149" s="329">
        <f>'EID List'!Z87</f>
        <v>0</v>
      </c>
      <c r="I149" s="329"/>
      <c r="J149" s="329"/>
      <c r="K149" s="329"/>
    </row>
    <row r="150" spans="1:11" ht="22.5" x14ac:dyDescent="0.25">
      <c r="A150" s="330" t="s">
        <v>6</v>
      </c>
      <c r="B150" s="330"/>
      <c r="C150" s="331">
        <f>'EID List'!C86</f>
        <v>0</v>
      </c>
      <c r="D150" s="331"/>
      <c r="E150" s="331"/>
      <c r="G150" s="332" t="s">
        <v>6</v>
      </c>
      <c r="H150" s="333"/>
      <c r="I150" s="331">
        <f>'EID List'!C87</f>
        <v>0</v>
      </c>
      <c r="J150" s="331"/>
      <c r="K150" s="331"/>
    </row>
    <row r="151" spans="1:11" ht="22.5" x14ac:dyDescent="0.3">
      <c r="A151" s="326" t="s">
        <v>42</v>
      </c>
      <c r="B151" s="326"/>
      <c r="C151" s="328">
        <f>'EID List'!$L$3</f>
        <v>0</v>
      </c>
      <c r="D151" s="328"/>
      <c r="E151" s="328"/>
      <c r="G151" s="63" t="s">
        <v>42</v>
      </c>
      <c r="H151" s="64"/>
      <c r="I151" s="328">
        <f>'EID List'!$L$3</f>
        <v>0</v>
      </c>
      <c r="J151" s="328"/>
      <c r="K151" s="328"/>
    </row>
    <row r="152" spans="1:11" ht="22.5" x14ac:dyDescent="0.3">
      <c r="A152" s="326" t="s">
        <v>40</v>
      </c>
      <c r="B152" s="326"/>
      <c r="C152" s="328">
        <f>'EID List'!$F$4</f>
        <v>0</v>
      </c>
      <c r="D152" s="328"/>
      <c r="E152" s="328"/>
      <c r="G152" s="326" t="s">
        <v>41</v>
      </c>
      <c r="H152" s="326"/>
      <c r="I152" s="328">
        <f>'EID List'!$F$4</f>
        <v>0</v>
      </c>
      <c r="J152" s="328"/>
      <c r="K152" s="328"/>
    </row>
    <row r="153" spans="1:11" ht="23.25" thickBot="1" x14ac:dyDescent="0.35">
      <c r="A153" s="3" t="s">
        <v>0</v>
      </c>
      <c r="B153" s="327">
        <f ca="1">TODAY()</f>
        <v>44621</v>
      </c>
      <c r="C153" s="327"/>
      <c r="D153" s="56" t="s">
        <v>61</v>
      </c>
      <c r="E153" s="65">
        <f>'EID List'!$G$7</f>
        <v>0</v>
      </c>
      <c r="G153" s="3" t="s">
        <v>0</v>
      </c>
      <c r="H153" s="327">
        <f ca="1">TODAY()</f>
        <v>44621</v>
      </c>
      <c r="I153" s="327"/>
      <c r="J153" s="56" t="s">
        <v>61</v>
      </c>
      <c r="K153" s="65">
        <f>'EID List'!$G$7</f>
        <v>0</v>
      </c>
    </row>
    <row r="154" spans="1:11" ht="25.5" customHeight="1" x14ac:dyDescent="0.3">
      <c r="A154" s="3"/>
      <c r="B154" s="64"/>
      <c r="C154" s="64"/>
      <c r="G154" s="3"/>
      <c r="H154" s="64"/>
      <c r="I154" s="64"/>
    </row>
    <row r="155" spans="1:11" ht="25.5" x14ac:dyDescent="0.25">
      <c r="A155" s="66">
        <f>A149+2</f>
        <v>52</v>
      </c>
      <c r="B155" s="329">
        <f>'EID List'!Z97</f>
        <v>0</v>
      </c>
      <c r="C155" s="329"/>
      <c r="D155" s="329"/>
      <c r="E155" s="329"/>
      <c r="G155" s="66">
        <f>G149+2</f>
        <v>53</v>
      </c>
      <c r="H155" s="329">
        <f>'EID List'!Z98</f>
        <v>0</v>
      </c>
      <c r="I155" s="329"/>
      <c r="J155" s="329"/>
      <c r="K155" s="329"/>
    </row>
    <row r="156" spans="1:11" ht="22.5" x14ac:dyDescent="0.25">
      <c r="A156" s="330" t="s">
        <v>6</v>
      </c>
      <c r="B156" s="330"/>
      <c r="C156" s="331">
        <f>'EID List'!C97</f>
        <v>0</v>
      </c>
      <c r="D156" s="331"/>
      <c r="E156" s="331"/>
      <c r="G156" s="332" t="s">
        <v>6</v>
      </c>
      <c r="H156" s="333"/>
      <c r="I156" s="331">
        <f>'EID List'!C98</f>
        <v>0</v>
      </c>
      <c r="J156" s="331"/>
      <c r="K156" s="331"/>
    </row>
    <row r="157" spans="1:11" ht="22.5" x14ac:dyDescent="0.3">
      <c r="A157" s="326" t="s">
        <v>42</v>
      </c>
      <c r="B157" s="326"/>
      <c r="C157" s="328">
        <f>'EID List'!$L$3</f>
        <v>0</v>
      </c>
      <c r="D157" s="328"/>
      <c r="E157" s="328"/>
      <c r="G157" s="63" t="s">
        <v>42</v>
      </c>
      <c r="H157" s="64"/>
      <c r="I157" s="328">
        <f>'EID List'!$L$3</f>
        <v>0</v>
      </c>
      <c r="J157" s="328"/>
      <c r="K157" s="328"/>
    </row>
    <row r="158" spans="1:11" ht="22.5" x14ac:dyDescent="0.3">
      <c r="A158" s="326" t="s">
        <v>40</v>
      </c>
      <c r="B158" s="326"/>
      <c r="C158" s="328">
        <f>'EID List'!$F$4</f>
        <v>0</v>
      </c>
      <c r="D158" s="328"/>
      <c r="E158" s="328"/>
      <c r="G158" s="326" t="s">
        <v>41</v>
      </c>
      <c r="H158" s="326"/>
      <c r="I158" s="328">
        <f>'EID List'!$F$4</f>
        <v>0</v>
      </c>
      <c r="J158" s="328"/>
      <c r="K158" s="328"/>
    </row>
    <row r="159" spans="1:11" ht="23.25" thickBot="1" x14ac:dyDescent="0.35">
      <c r="A159" s="3" t="s">
        <v>0</v>
      </c>
      <c r="B159" s="327">
        <f ca="1">TODAY()</f>
        <v>44621</v>
      </c>
      <c r="C159" s="327"/>
      <c r="D159" s="56" t="s">
        <v>61</v>
      </c>
      <c r="E159" s="65">
        <f>'EID List'!$G$7</f>
        <v>0</v>
      </c>
      <c r="G159" s="3" t="s">
        <v>0</v>
      </c>
      <c r="H159" s="327">
        <f ca="1">TODAY()</f>
        <v>44621</v>
      </c>
      <c r="I159" s="327"/>
      <c r="J159" s="56" t="s">
        <v>61</v>
      </c>
      <c r="K159" s="65">
        <f>'EID List'!$G$7</f>
        <v>0</v>
      </c>
    </row>
    <row r="160" spans="1:11" ht="24.95" customHeight="1" x14ac:dyDescent="0.3">
      <c r="A160" s="3"/>
      <c r="B160" s="64"/>
      <c r="C160" s="64"/>
      <c r="G160" s="3"/>
      <c r="H160" s="64"/>
      <c r="I160" s="64"/>
    </row>
    <row r="161" spans="1:11" ht="25.5" x14ac:dyDescent="0.25">
      <c r="A161" s="66">
        <f>A155+2</f>
        <v>54</v>
      </c>
      <c r="B161" s="329">
        <f>'EID List'!Z99</f>
        <v>0</v>
      </c>
      <c r="C161" s="329"/>
      <c r="D161" s="329"/>
      <c r="E161" s="329"/>
      <c r="G161" s="66">
        <f>A161+1</f>
        <v>55</v>
      </c>
      <c r="H161" s="329">
        <f>'EID List'!Z100</f>
        <v>0</v>
      </c>
      <c r="I161" s="329"/>
      <c r="J161" s="329"/>
      <c r="K161" s="329"/>
    </row>
    <row r="162" spans="1:11" ht="22.5" x14ac:dyDescent="0.25">
      <c r="A162" s="330" t="s">
        <v>6</v>
      </c>
      <c r="B162" s="330"/>
      <c r="C162" s="331">
        <f>'EID List'!C99</f>
        <v>0</v>
      </c>
      <c r="D162" s="331"/>
      <c r="E162" s="331"/>
      <c r="G162" s="332" t="s">
        <v>6</v>
      </c>
      <c r="H162" s="333"/>
      <c r="I162" s="331">
        <f>'EID List'!C100</f>
        <v>0</v>
      </c>
      <c r="J162" s="331"/>
      <c r="K162" s="331"/>
    </row>
    <row r="163" spans="1:11" ht="22.5" x14ac:dyDescent="0.3">
      <c r="A163" s="326" t="s">
        <v>42</v>
      </c>
      <c r="B163" s="326"/>
      <c r="C163" s="328">
        <f>'EID List'!$L$3</f>
        <v>0</v>
      </c>
      <c r="D163" s="328"/>
      <c r="E163" s="328"/>
      <c r="G163" s="63" t="s">
        <v>42</v>
      </c>
      <c r="H163" s="64"/>
      <c r="I163" s="328">
        <f>'EID List'!$L$3</f>
        <v>0</v>
      </c>
      <c r="J163" s="328"/>
      <c r="K163" s="328"/>
    </row>
    <row r="164" spans="1:11" ht="22.5" x14ac:dyDescent="0.3">
      <c r="A164" s="326" t="s">
        <v>40</v>
      </c>
      <c r="B164" s="326"/>
      <c r="C164" s="328">
        <f>'EID List'!$F$4</f>
        <v>0</v>
      </c>
      <c r="D164" s="328"/>
      <c r="E164" s="328"/>
      <c r="G164" s="326" t="s">
        <v>41</v>
      </c>
      <c r="H164" s="326"/>
      <c r="I164" s="328">
        <f>'EID List'!$F$4</f>
        <v>0</v>
      </c>
      <c r="J164" s="328"/>
      <c r="K164" s="328"/>
    </row>
    <row r="165" spans="1:11" ht="23.25" thickBot="1" x14ac:dyDescent="0.35">
      <c r="A165" s="3" t="s">
        <v>0</v>
      </c>
      <c r="B165" s="327">
        <f ca="1">TODAY()</f>
        <v>44621</v>
      </c>
      <c r="C165" s="327"/>
      <c r="D165" s="56" t="s">
        <v>61</v>
      </c>
      <c r="E165" s="65">
        <f>'EID List'!$G$7</f>
        <v>0</v>
      </c>
      <c r="G165" s="3" t="s">
        <v>0</v>
      </c>
      <c r="H165" s="327">
        <f ca="1">TODAY()</f>
        <v>44621</v>
      </c>
      <c r="I165" s="327"/>
      <c r="J165" s="56" t="s">
        <v>61</v>
      </c>
      <c r="K165" s="65">
        <f>'EID List'!$G$7</f>
        <v>0</v>
      </c>
    </row>
    <row r="166" spans="1:11" ht="24.95" customHeight="1" x14ac:dyDescent="0.3">
      <c r="A166" s="3"/>
      <c r="B166" s="64"/>
      <c r="C166" s="64"/>
      <c r="G166" s="3"/>
      <c r="H166" s="64"/>
      <c r="I166" s="64"/>
    </row>
    <row r="167" spans="1:11" ht="25.5" x14ac:dyDescent="0.25">
      <c r="A167" s="66">
        <f>A161+2</f>
        <v>56</v>
      </c>
      <c r="B167" s="329">
        <f>'EID List'!Z101</f>
        <v>0</v>
      </c>
      <c r="C167" s="329"/>
      <c r="D167" s="329"/>
      <c r="E167" s="329"/>
      <c r="G167" s="66">
        <f>G161+2</f>
        <v>57</v>
      </c>
      <c r="H167" s="329">
        <f>'EID List'!Z102</f>
        <v>0</v>
      </c>
      <c r="I167" s="329"/>
      <c r="J167" s="329"/>
      <c r="K167" s="329"/>
    </row>
    <row r="168" spans="1:11" ht="22.5" x14ac:dyDescent="0.25">
      <c r="A168" s="330" t="s">
        <v>6</v>
      </c>
      <c r="B168" s="330"/>
      <c r="C168" s="331">
        <f>'EID List'!C101</f>
        <v>0</v>
      </c>
      <c r="D168" s="331"/>
      <c r="E168" s="331"/>
      <c r="G168" s="332" t="s">
        <v>6</v>
      </c>
      <c r="H168" s="333"/>
      <c r="I168" s="331">
        <f>'EID List'!C102</f>
        <v>0</v>
      </c>
      <c r="J168" s="331"/>
      <c r="K168" s="331"/>
    </row>
    <row r="169" spans="1:11" ht="22.5" x14ac:dyDescent="0.3">
      <c r="A169" s="326" t="s">
        <v>42</v>
      </c>
      <c r="B169" s="326"/>
      <c r="C169" s="328">
        <f>'EID List'!$L$3</f>
        <v>0</v>
      </c>
      <c r="D169" s="328"/>
      <c r="E169" s="328"/>
      <c r="G169" s="63" t="s">
        <v>42</v>
      </c>
      <c r="H169" s="64"/>
      <c r="I169" s="328">
        <f>'EID List'!$L$3</f>
        <v>0</v>
      </c>
      <c r="J169" s="328"/>
      <c r="K169" s="328"/>
    </row>
    <row r="170" spans="1:11" ht="22.5" x14ac:dyDescent="0.3">
      <c r="A170" s="326" t="s">
        <v>40</v>
      </c>
      <c r="B170" s="326"/>
      <c r="C170" s="328">
        <f>'EID List'!$F$4</f>
        <v>0</v>
      </c>
      <c r="D170" s="328"/>
      <c r="E170" s="328"/>
      <c r="G170" s="326" t="s">
        <v>41</v>
      </c>
      <c r="H170" s="326"/>
      <c r="I170" s="328">
        <f>'EID List'!$F$4</f>
        <v>0</v>
      </c>
      <c r="J170" s="328"/>
      <c r="K170" s="328"/>
    </row>
    <row r="171" spans="1:11" ht="23.25" thickBot="1" x14ac:dyDescent="0.35">
      <c r="A171" s="3" t="s">
        <v>0</v>
      </c>
      <c r="B171" s="327">
        <f ca="1">TODAY()</f>
        <v>44621</v>
      </c>
      <c r="C171" s="327"/>
      <c r="D171" s="56" t="s">
        <v>61</v>
      </c>
      <c r="E171" s="65">
        <f>'EID List'!$G$7</f>
        <v>0</v>
      </c>
      <c r="G171" s="3" t="s">
        <v>0</v>
      </c>
      <c r="H171" s="327">
        <f ca="1">TODAY()</f>
        <v>44621</v>
      </c>
      <c r="I171" s="327"/>
      <c r="J171" s="56" t="s">
        <v>61</v>
      </c>
      <c r="K171" s="65">
        <f>'EID List'!$G$7</f>
        <v>0</v>
      </c>
    </row>
    <row r="172" spans="1:11" ht="25.5" customHeight="1" x14ac:dyDescent="0.3">
      <c r="A172" s="3"/>
      <c r="B172" s="64"/>
      <c r="C172" s="64"/>
      <c r="G172" s="3"/>
      <c r="H172" s="64"/>
      <c r="I172" s="64"/>
    </row>
    <row r="173" spans="1:11" ht="25.5" x14ac:dyDescent="0.25">
      <c r="A173" s="66">
        <f>A167+2</f>
        <v>58</v>
      </c>
      <c r="B173" s="329">
        <f>'EID List'!Z103</f>
        <v>0</v>
      </c>
      <c r="C173" s="329"/>
      <c r="D173" s="329"/>
      <c r="E173" s="329"/>
      <c r="G173" s="66">
        <f>A173+1</f>
        <v>59</v>
      </c>
      <c r="H173" s="329">
        <f>'EID List'!Z104</f>
        <v>0</v>
      </c>
      <c r="I173" s="329"/>
      <c r="J173" s="329"/>
      <c r="K173" s="329"/>
    </row>
    <row r="174" spans="1:11" ht="22.5" x14ac:dyDescent="0.25">
      <c r="A174" s="330" t="s">
        <v>6</v>
      </c>
      <c r="B174" s="330"/>
      <c r="C174" s="331">
        <f>'EID List'!C103</f>
        <v>0</v>
      </c>
      <c r="D174" s="331"/>
      <c r="E174" s="331"/>
      <c r="G174" s="332" t="s">
        <v>6</v>
      </c>
      <c r="H174" s="333"/>
      <c r="I174" s="331">
        <f>'EID List'!C104</f>
        <v>0</v>
      </c>
      <c r="J174" s="331"/>
      <c r="K174" s="331"/>
    </row>
    <row r="175" spans="1:11" ht="22.5" x14ac:dyDescent="0.3">
      <c r="A175" s="326" t="s">
        <v>42</v>
      </c>
      <c r="B175" s="326"/>
      <c r="C175" s="328">
        <f>'EID List'!$L$3</f>
        <v>0</v>
      </c>
      <c r="D175" s="328"/>
      <c r="E175" s="328"/>
      <c r="G175" s="63" t="s">
        <v>42</v>
      </c>
      <c r="H175" s="64"/>
      <c r="I175" s="328">
        <f>'EID List'!$L$3</f>
        <v>0</v>
      </c>
      <c r="J175" s="328"/>
      <c r="K175" s="328"/>
    </row>
    <row r="176" spans="1:11" ht="22.5" x14ac:dyDescent="0.3">
      <c r="A176" s="326" t="s">
        <v>40</v>
      </c>
      <c r="B176" s="326"/>
      <c r="C176" s="328">
        <f>'EID List'!$F$4</f>
        <v>0</v>
      </c>
      <c r="D176" s="328"/>
      <c r="E176" s="328"/>
      <c r="G176" s="326" t="s">
        <v>41</v>
      </c>
      <c r="H176" s="326"/>
      <c r="I176" s="328">
        <f>'EID List'!$F$4</f>
        <v>0</v>
      </c>
      <c r="J176" s="328"/>
      <c r="K176" s="328"/>
    </row>
    <row r="177" spans="1:11" ht="23.25" thickBot="1" x14ac:dyDescent="0.35">
      <c r="A177" s="3" t="s">
        <v>0</v>
      </c>
      <c r="B177" s="327">
        <f ca="1">TODAY()</f>
        <v>44621</v>
      </c>
      <c r="C177" s="327"/>
      <c r="D177" s="56" t="s">
        <v>61</v>
      </c>
      <c r="E177" s="65">
        <f>'EID List'!$G$7</f>
        <v>0</v>
      </c>
      <c r="G177" s="3" t="s">
        <v>0</v>
      </c>
      <c r="H177" s="327">
        <f ca="1">TODAY()</f>
        <v>44621</v>
      </c>
      <c r="I177" s="327"/>
      <c r="J177" s="56" t="s">
        <v>61</v>
      </c>
      <c r="K177" s="65">
        <f>'EID List'!$G$7</f>
        <v>0</v>
      </c>
    </row>
    <row r="178" spans="1:11" ht="25.5" x14ac:dyDescent="0.25">
      <c r="A178" s="66">
        <f>A173+2</f>
        <v>60</v>
      </c>
      <c r="B178" s="329">
        <f>'EID List'!Z105</f>
        <v>0</v>
      </c>
      <c r="C178" s="329"/>
      <c r="D178" s="329"/>
      <c r="E178" s="329"/>
      <c r="G178" s="66">
        <f>G173+2</f>
        <v>61</v>
      </c>
      <c r="H178" s="329">
        <f>'EID List'!Z106</f>
        <v>0</v>
      </c>
      <c r="I178" s="329"/>
      <c r="J178" s="329"/>
      <c r="K178" s="329"/>
    </row>
    <row r="179" spans="1:11" ht="22.5" x14ac:dyDescent="0.25">
      <c r="A179" s="330" t="s">
        <v>6</v>
      </c>
      <c r="B179" s="330"/>
      <c r="C179" s="331">
        <f>'EID List'!C105</f>
        <v>0</v>
      </c>
      <c r="D179" s="331"/>
      <c r="E179" s="331"/>
      <c r="G179" s="332" t="s">
        <v>6</v>
      </c>
      <c r="H179" s="333"/>
      <c r="I179" s="331">
        <f>'EID List'!C106</f>
        <v>0</v>
      </c>
      <c r="J179" s="331"/>
      <c r="K179" s="331"/>
    </row>
    <row r="180" spans="1:11" ht="22.5" x14ac:dyDescent="0.3">
      <c r="A180" s="326" t="s">
        <v>42</v>
      </c>
      <c r="B180" s="326"/>
      <c r="C180" s="328">
        <f>'EID List'!$L$3</f>
        <v>0</v>
      </c>
      <c r="D180" s="328"/>
      <c r="E180" s="328"/>
      <c r="G180" s="63" t="s">
        <v>42</v>
      </c>
      <c r="H180" s="64"/>
      <c r="I180" s="328">
        <f>'EID List'!$L$3</f>
        <v>0</v>
      </c>
      <c r="J180" s="328"/>
      <c r="K180" s="328"/>
    </row>
    <row r="181" spans="1:11" ht="22.5" x14ac:dyDescent="0.3">
      <c r="A181" s="326" t="s">
        <v>40</v>
      </c>
      <c r="B181" s="326"/>
      <c r="C181" s="328">
        <f>'EID List'!$F$4</f>
        <v>0</v>
      </c>
      <c r="D181" s="328"/>
      <c r="E181" s="328"/>
      <c r="G181" s="326" t="s">
        <v>41</v>
      </c>
      <c r="H181" s="326"/>
      <c r="I181" s="328">
        <f>'EID List'!$F$4</f>
        <v>0</v>
      </c>
      <c r="J181" s="328"/>
      <c r="K181" s="328"/>
    </row>
    <row r="182" spans="1:11" ht="23.25" thickBot="1" x14ac:dyDescent="0.35">
      <c r="A182" s="3" t="s">
        <v>0</v>
      </c>
      <c r="B182" s="327">
        <f ca="1">TODAY()</f>
        <v>44621</v>
      </c>
      <c r="C182" s="327"/>
      <c r="D182" s="56" t="s">
        <v>61</v>
      </c>
      <c r="E182" s="65">
        <f>'EID List'!$G$7</f>
        <v>0</v>
      </c>
      <c r="G182" s="3" t="s">
        <v>0</v>
      </c>
      <c r="H182" s="327">
        <f ca="1">TODAY()</f>
        <v>44621</v>
      </c>
      <c r="I182" s="327"/>
      <c r="J182" s="56" t="s">
        <v>61</v>
      </c>
      <c r="K182" s="65">
        <f>'EID List'!$G$7</f>
        <v>0</v>
      </c>
    </row>
    <row r="183" spans="1:11" ht="25.5" customHeight="1" x14ac:dyDescent="0.3">
      <c r="A183" s="3"/>
      <c r="B183" s="64"/>
      <c r="C183" s="64"/>
      <c r="G183" s="3"/>
      <c r="H183" s="64"/>
      <c r="I183" s="64"/>
    </row>
    <row r="184" spans="1:11" ht="25.5" x14ac:dyDescent="0.25">
      <c r="A184" s="66">
        <f>A178+2</f>
        <v>62</v>
      </c>
      <c r="B184" s="329">
        <f>'EID List'!Z107</f>
        <v>0</v>
      </c>
      <c r="C184" s="329"/>
      <c r="D184" s="329"/>
      <c r="E184" s="329"/>
      <c r="G184" s="66">
        <f>A184+1</f>
        <v>63</v>
      </c>
      <c r="H184" s="329">
        <f>'EID List'!Z108</f>
        <v>0</v>
      </c>
      <c r="I184" s="329"/>
      <c r="J184" s="329"/>
      <c r="K184" s="329"/>
    </row>
    <row r="185" spans="1:11" ht="22.5" x14ac:dyDescent="0.25">
      <c r="A185" s="330" t="s">
        <v>6</v>
      </c>
      <c r="B185" s="330"/>
      <c r="C185" s="331">
        <f>'EID List'!C107</f>
        <v>0</v>
      </c>
      <c r="D185" s="331"/>
      <c r="E185" s="331"/>
      <c r="G185" s="332" t="s">
        <v>6</v>
      </c>
      <c r="H185" s="333"/>
      <c r="I185" s="331">
        <f>'EID List'!C108</f>
        <v>0</v>
      </c>
      <c r="J185" s="331"/>
      <c r="K185" s="331"/>
    </row>
    <row r="186" spans="1:11" ht="22.5" x14ac:dyDescent="0.3">
      <c r="A186" s="326" t="s">
        <v>42</v>
      </c>
      <c r="B186" s="326"/>
      <c r="C186" s="328">
        <f>'EID List'!$L$3</f>
        <v>0</v>
      </c>
      <c r="D186" s="328"/>
      <c r="E186" s="328"/>
      <c r="G186" s="63" t="s">
        <v>42</v>
      </c>
      <c r="H186" s="64"/>
      <c r="I186" s="328">
        <f>'EID List'!$L$3</f>
        <v>0</v>
      </c>
      <c r="J186" s="328"/>
      <c r="K186" s="328"/>
    </row>
    <row r="187" spans="1:11" ht="22.5" x14ac:dyDescent="0.3">
      <c r="A187" s="326" t="s">
        <v>40</v>
      </c>
      <c r="B187" s="326"/>
      <c r="C187" s="328">
        <f>'EID List'!$F$4</f>
        <v>0</v>
      </c>
      <c r="D187" s="328"/>
      <c r="E187" s="328"/>
      <c r="G187" s="326" t="s">
        <v>41</v>
      </c>
      <c r="H187" s="326"/>
      <c r="I187" s="328">
        <f>'EID List'!$F$4</f>
        <v>0</v>
      </c>
      <c r="J187" s="328"/>
      <c r="K187" s="328"/>
    </row>
    <row r="188" spans="1:11" ht="23.25" thickBot="1" x14ac:dyDescent="0.35">
      <c r="A188" s="3" t="s">
        <v>0</v>
      </c>
      <c r="B188" s="327">
        <f ca="1">TODAY()</f>
        <v>44621</v>
      </c>
      <c r="C188" s="327"/>
      <c r="D188" s="56" t="s">
        <v>61</v>
      </c>
      <c r="E188" s="65">
        <f>'EID List'!$G$7</f>
        <v>0</v>
      </c>
      <c r="G188" s="3" t="s">
        <v>0</v>
      </c>
      <c r="H188" s="327">
        <f ca="1">TODAY()</f>
        <v>44621</v>
      </c>
      <c r="I188" s="327"/>
      <c r="J188" s="56" t="s">
        <v>61</v>
      </c>
      <c r="K188" s="65">
        <f>'EID List'!$G$7</f>
        <v>0</v>
      </c>
    </row>
    <row r="189" spans="1:11" ht="24.95" customHeight="1" x14ac:dyDescent="0.3">
      <c r="A189" s="3"/>
      <c r="B189" s="64"/>
      <c r="C189" s="64"/>
      <c r="G189" s="3"/>
      <c r="H189" s="64"/>
      <c r="I189" s="64"/>
    </row>
    <row r="190" spans="1:11" ht="25.5" x14ac:dyDescent="0.25">
      <c r="A190" s="66">
        <f>A184+2</f>
        <v>64</v>
      </c>
      <c r="B190" s="329">
        <f>'EID List'!Z109</f>
        <v>0</v>
      </c>
      <c r="C190" s="329"/>
      <c r="D190" s="329"/>
      <c r="E190" s="329"/>
      <c r="G190" s="66">
        <f>G184+2</f>
        <v>65</v>
      </c>
      <c r="H190" s="329">
        <f>'EID List'!Z110</f>
        <v>0</v>
      </c>
      <c r="I190" s="329"/>
      <c r="J190" s="329"/>
      <c r="K190" s="329"/>
    </row>
    <row r="191" spans="1:11" ht="22.5" x14ac:dyDescent="0.25">
      <c r="A191" s="330" t="s">
        <v>6</v>
      </c>
      <c r="B191" s="330"/>
      <c r="C191" s="331">
        <f>'EID List'!C109</f>
        <v>0</v>
      </c>
      <c r="D191" s="331"/>
      <c r="E191" s="331"/>
      <c r="G191" s="332" t="s">
        <v>6</v>
      </c>
      <c r="H191" s="333"/>
      <c r="I191" s="331">
        <f>'EID List'!C110</f>
        <v>0</v>
      </c>
      <c r="J191" s="331"/>
      <c r="K191" s="331"/>
    </row>
    <row r="192" spans="1:11" ht="22.5" x14ac:dyDescent="0.3">
      <c r="A192" s="326" t="s">
        <v>42</v>
      </c>
      <c r="B192" s="326"/>
      <c r="C192" s="328">
        <f>'EID List'!$L$3</f>
        <v>0</v>
      </c>
      <c r="D192" s="328"/>
      <c r="E192" s="328"/>
      <c r="G192" s="63" t="s">
        <v>42</v>
      </c>
      <c r="H192" s="64"/>
      <c r="I192" s="328">
        <f>'EID List'!$L$3</f>
        <v>0</v>
      </c>
      <c r="J192" s="328"/>
      <c r="K192" s="328"/>
    </row>
    <row r="193" spans="1:12" ht="22.5" x14ac:dyDescent="0.3">
      <c r="A193" s="326" t="s">
        <v>40</v>
      </c>
      <c r="B193" s="326"/>
      <c r="C193" s="328">
        <f>'EID List'!$F$4</f>
        <v>0</v>
      </c>
      <c r="D193" s="328"/>
      <c r="E193" s="328"/>
      <c r="G193" s="326" t="s">
        <v>41</v>
      </c>
      <c r="H193" s="326"/>
      <c r="I193" s="328">
        <f>'EID List'!$F$4</f>
        <v>0</v>
      </c>
      <c r="J193" s="328"/>
      <c r="K193" s="328"/>
    </row>
    <row r="194" spans="1:12" ht="23.25" thickBot="1" x14ac:dyDescent="0.35">
      <c r="A194" s="3" t="s">
        <v>0</v>
      </c>
      <c r="B194" s="327">
        <f ca="1">TODAY()</f>
        <v>44621</v>
      </c>
      <c r="C194" s="327"/>
      <c r="D194" s="56" t="s">
        <v>61</v>
      </c>
      <c r="E194" s="65">
        <f>'EID List'!$G$7</f>
        <v>0</v>
      </c>
      <c r="G194" s="3" t="s">
        <v>0</v>
      </c>
      <c r="H194" s="327">
        <f ca="1">TODAY()</f>
        <v>44621</v>
      </c>
      <c r="I194" s="327"/>
      <c r="J194" s="56" t="s">
        <v>61</v>
      </c>
      <c r="K194" s="65">
        <f>'EID List'!$G$7</f>
        <v>0</v>
      </c>
    </row>
    <row r="195" spans="1:12" ht="24.95" customHeight="1" x14ac:dyDescent="0.3">
      <c r="A195" s="3"/>
      <c r="B195" s="64"/>
      <c r="C195" s="64"/>
      <c r="G195" s="3"/>
      <c r="H195" s="64"/>
      <c r="I195" s="64"/>
    </row>
    <row r="196" spans="1:12" ht="25.5" x14ac:dyDescent="0.25">
      <c r="A196" s="66">
        <f>A190+2</f>
        <v>66</v>
      </c>
      <c r="B196" s="329">
        <f>'EID List'!Z111</f>
        <v>0</v>
      </c>
      <c r="C196" s="329"/>
      <c r="D196" s="329"/>
      <c r="E196" s="329"/>
      <c r="G196" s="66">
        <f>A196+1</f>
        <v>67</v>
      </c>
      <c r="H196" s="329">
        <f>'EID List'!Z112</f>
        <v>0</v>
      </c>
      <c r="I196" s="329"/>
      <c r="J196" s="329"/>
      <c r="K196" s="329"/>
    </row>
    <row r="197" spans="1:12" ht="22.5" x14ac:dyDescent="0.25">
      <c r="A197" s="330" t="s">
        <v>6</v>
      </c>
      <c r="B197" s="330"/>
      <c r="C197" s="331">
        <f>'EID List'!C111</f>
        <v>0</v>
      </c>
      <c r="D197" s="331"/>
      <c r="E197" s="331"/>
      <c r="G197" s="332" t="s">
        <v>6</v>
      </c>
      <c r="H197" s="333"/>
      <c r="I197" s="331">
        <f>'EID List'!C112</f>
        <v>0</v>
      </c>
      <c r="J197" s="331"/>
      <c r="K197" s="331"/>
    </row>
    <row r="198" spans="1:12" ht="22.5" x14ac:dyDescent="0.3">
      <c r="A198" s="326" t="s">
        <v>42</v>
      </c>
      <c r="B198" s="326"/>
      <c r="C198" s="328">
        <f>'EID List'!$L$3</f>
        <v>0</v>
      </c>
      <c r="D198" s="328"/>
      <c r="E198" s="328"/>
      <c r="G198" s="63" t="s">
        <v>42</v>
      </c>
      <c r="H198" s="64"/>
      <c r="I198" s="328">
        <f>'EID List'!$L$3</f>
        <v>0</v>
      </c>
      <c r="J198" s="328"/>
      <c r="K198" s="328"/>
    </row>
    <row r="199" spans="1:12" ht="22.5" x14ac:dyDescent="0.3">
      <c r="A199" s="326" t="s">
        <v>40</v>
      </c>
      <c r="B199" s="326"/>
      <c r="C199" s="328">
        <f>'EID List'!$F$4</f>
        <v>0</v>
      </c>
      <c r="D199" s="328"/>
      <c r="E199" s="328"/>
      <c r="G199" s="326" t="s">
        <v>41</v>
      </c>
      <c r="H199" s="326"/>
      <c r="I199" s="328">
        <f>'EID List'!$F$4</f>
        <v>0</v>
      </c>
      <c r="J199" s="328"/>
      <c r="K199" s="328"/>
    </row>
    <row r="200" spans="1:12" ht="23.25" thickBot="1" x14ac:dyDescent="0.35">
      <c r="A200" s="3" t="s">
        <v>0</v>
      </c>
      <c r="B200" s="327">
        <f ca="1">TODAY()</f>
        <v>44621</v>
      </c>
      <c r="C200" s="327"/>
      <c r="D200" s="56" t="s">
        <v>61</v>
      </c>
      <c r="E200" s="65">
        <f>'EID List'!$G$7</f>
        <v>0</v>
      </c>
      <c r="G200" s="3" t="s">
        <v>0</v>
      </c>
      <c r="H200" s="327">
        <f ca="1">TODAY()</f>
        <v>44621</v>
      </c>
      <c r="I200" s="327"/>
      <c r="J200" s="56" t="s">
        <v>61</v>
      </c>
      <c r="K200" s="65">
        <f>'EID List'!$G$7</f>
        <v>0</v>
      </c>
    </row>
    <row r="201" spans="1:12" ht="25.5" customHeight="1" x14ac:dyDescent="0.3">
      <c r="A201" s="3"/>
      <c r="B201" s="64"/>
      <c r="C201" s="64"/>
      <c r="G201" s="3"/>
      <c r="H201" s="64"/>
      <c r="I201" s="64"/>
    </row>
    <row r="202" spans="1:12" ht="25.5" x14ac:dyDescent="0.25">
      <c r="A202" s="66">
        <f>A196+2</f>
        <v>68</v>
      </c>
      <c r="B202" s="329">
        <f>'EID List'!Z113</f>
        <v>0</v>
      </c>
      <c r="C202" s="329"/>
      <c r="D202" s="329"/>
      <c r="E202" s="329"/>
      <c r="G202" s="66">
        <f>G196+2</f>
        <v>69</v>
      </c>
      <c r="H202" s="329">
        <f>'EID List'!Z114</f>
        <v>0</v>
      </c>
      <c r="I202" s="329"/>
      <c r="J202" s="329"/>
      <c r="K202" s="329"/>
    </row>
    <row r="203" spans="1:12" ht="22.5" x14ac:dyDescent="0.25">
      <c r="A203" s="330" t="s">
        <v>6</v>
      </c>
      <c r="B203" s="330"/>
      <c r="C203" s="331">
        <f>'EID List'!C113</f>
        <v>0</v>
      </c>
      <c r="D203" s="331"/>
      <c r="E203" s="331"/>
      <c r="G203" s="332" t="s">
        <v>6</v>
      </c>
      <c r="H203" s="333"/>
      <c r="I203" s="331">
        <f>'EID List'!C114</f>
        <v>0</v>
      </c>
      <c r="J203" s="331"/>
      <c r="K203" s="331"/>
    </row>
    <row r="204" spans="1:12" ht="22.5" x14ac:dyDescent="0.3">
      <c r="A204" s="326" t="s">
        <v>42</v>
      </c>
      <c r="B204" s="326"/>
      <c r="C204" s="328">
        <f>'EID List'!$L$3</f>
        <v>0</v>
      </c>
      <c r="D204" s="328"/>
      <c r="E204" s="328"/>
      <c r="G204" s="63" t="s">
        <v>42</v>
      </c>
      <c r="H204" s="64"/>
      <c r="I204" s="328">
        <f>'EID List'!$L$3</f>
        <v>0</v>
      </c>
      <c r="J204" s="328"/>
      <c r="K204" s="328"/>
    </row>
    <row r="205" spans="1:12" ht="22.5" x14ac:dyDescent="0.3">
      <c r="A205" s="326" t="s">
        <v>40</v>
      </c>
      <c r="B205" s="326"/>
      <c r="C205" s="328">
        <f>'EID List'!$F$4</f>
        <v>0</v>
      </c>
      <c r="D205" s="328"/>
      <c r="E205" s="328"/>
      <c r="G205" s="326" t="s">
        <v>41</v>
      </c>
      <c r="H205" s="326"/>
      <c r="I205" s="328">
        <f>'EID List'!$F$4</f>
        <v>0</v>
      </c>
      <c r="J205" s="328"/>
      <c r="K205" s="328"/>
    </row>
    <row r="206" spans="1:12" ht="23.25" thickBot="1" x14ac:dyDescent="0.35">
      <c r="A206" s="3" t="s">
        <v>0</v>
      </c>
      <c r="B206" s="327">
        <f ca="1">TODAY()</f>
        <v>44621</v>
      </c>
      <c r="C206" s="327"/>
      <c r="D206" s="56" t="s">
        <v>61</v>
      </c>
      <c r="E206" s="65">
        <f>'EID List'!$G$7</f>
        <v>0</v>
      </c>
      <c r="G206" s="3" t="s">
        <v>0</v>
      </c>
      <c r="H206" s="327">
        <f ca="1">TODAY()</f>
        <v>44621</v>
      </c>
      <c r="I206" s="327"/>
      <c r="J206" s="56" t="s">
        <v>61</v>
      </c>
      <c r="K206" s="65">
        <f>'EID List'!$G$7</f>
        <v>0</v>
      </c>
    </row>
    <row r="207" spans="1:12" x14ac:dyDescent="0.25">
      <c r="A207" s="29"/>
      <c r="B207" s="29"/>
      <c r="C207" s="29"/>
      <c r="D207" s="58"/>
      <c r="E207" s="61"/>
      <c r="F207" s="29"/>
      <c r="G207" s="29"/>
      <c r="H207" s="29"/>
      <c r="I207" s="29"/>
      <c r="J207" s="58"/>
      <c r="K207" s="61"/>
      <c r="L207" s="29"/>
    </row>
    <row r="208" spans="1:12" x14ac:dyDescent="0.25">
      <c r="A208" s="29"/>
      <c r="B208" s="29"/>
      <c r="C208" s="29"/>
      <c r="D208" s="58"/>
      <c r="E208" s="61"/>
      <c r="F208" s="29"/>
      <c r="G208" s="29"/>
      <c r="H208" s="29"/>
      <c r="I208" s="29"/>
      <c r="J208" s="58"/>
      <c r="K208" s="61"/>
      <c r="L208" s="29"/>
    </row>
    <row r="209" spans="1:12" x14ac:dyDescent="0.25">
      <c r="A209" s="29"/>
      <c r="B209" s="29"/>
      <c r="C209" s="29"/>
      <c r="D209" s="58"/>
      <c r="E209" s="61"/>
      <c r="F209" s="29"/>
      <c r="G209" s="29"/>
      <c r="H209" s="29"/>
      <c r="I209" s="29"/>
      <c r="J209" s="58"/>
      <c r="K209" s="61"/>
      <c r="L209" s="29"/>
    </row>
    <row r="210" spans="1:12" x14ac:dyDescent="0.25">
      <c r="A210" s="29"/>
      <c r="B210" s="29"/>
      <c r="C210" s="29"/>
      <c r="D210" s="58"/>
      <c r="E210" s="61"/>
      <c r="F210" s="29"/>
      <c r="G210" s="29"/>
      <c r="H210" s="29"/>
      <c r="I210" s="29"/>
      <c r="J210" s="58"/>
      <c r="K210" s="61"/>
      <c r="L210" s="29"/>
    </row>
    <row r="211" spans="1:12" x14ac:dyDescent="0.25">
      <c r="A211" s="29"/>
      <c r="B211" s="29"/>
      <c r="C211" s="29"/>
      <c r="D211" s="58"/>
      <c r="E211" s="61"/>
      <c r="F211" s="29"/>
      <c r="G211" s="29"/>
      <c r="H211" s="29"/>
      <c r="I211" s="29"/>
      <c r="J211" s="58"/>
      <c r="K211" s="61"/>
      <c r="L211" s="29"/>
    </row>
    <row r="212" spans="1:12" x14ac:dyDescent="0.25">
      <c r="A212" s="29"/>
      <c r="B212" s="29"/>
      <c r="C212" s="29"/>
      <c r="D212" s="58"/>
      <c r="E212" s="61"/>
      <c r="F212" s="29"/>
      <c r="G212" s="29"/>
      <c r="H212" s="29"/>
      <c r="I212" s="29"/>
      <c r="J212" s="58"/>
      <c r="K212" s="61"/>
      <c r="L212" s="29"/>
    </row>
    <row r="213" spans="1:12" x14ac:dyDescent="0.25">
      <c r="A213" s="29"/>
      <c r="B213" s="29"/>
      <c r="C213" s="29"/>
      <c r="D213" s="58"/>
      <c r="E213" s="61"/>
      <c r="F213" s="29"/>
      <c r="G213" s="29"/>
      <c r="H213" s="29"/>
      <c r="I213" s="29"/>
      <c r="J213" s="58"/>
      <c r="K213" s="61"/>
      <c r="L213" s="29"/>
    </row>
    <row r="214" spans="1:12" x14ac:dyDescent="0.25">
      <c r="A214" s="29"/>
      <c r="B214" s="29"/>
      <c r="C214" s="29"/>
      <c r="D214" s="58"/>
      <c r="E214" s="61"/>
      <c r="F214" s="29"/>
      <c r="G214" s="29"/>
      <c r="H214" s="29"/>
      <c r="I214" s="29"/>
      <c r="J214" s="58"/>
      <c r="K214" s="61"/>
      <c r="L214" s="29"/>
    </row>
    <row r="215" spans="1:12" x14ac:dyDescent="0.25">
      <c r="A215" s="29"/>
      <c r="B215" s="29"/>
      <c r="C215" s="29"/>
      <c r="D215" s="58"/>
      <c r="E215" s="61"/>
      <c r="F215" s="29"/>
      <c r="G215" s="29"/>
      <c r="H215" s="29"/>
      <c r="I215" s="29"/>
      <c r="J215" s="58"/>
      <c r="K215" s="61"/>
      <c r="L215" s="29"/>
    </row>
    <row r="216" spans="1:12" x14ac:dyDescent="0.25">
      <c r="A216" s="29"/>
      <c r="B216" s="29"/>
      <c r="C216" s="29"/>
      <c r="D216" s="58"/>
      <c r="E216" s="61"/>
      <c r="F216" s="29"/>
      <c r="G216" s="29"/>
      <c r="H216" s="29"/>
      <c r="I216" s="29"/>
      <c r="J216" s="58"/>
      <c r="K216" s="61"/>
      <c r="L216" s="29"/>
    </row>
    <row r="217" spans="1:12" x14ac:dyDescent="0.25">
      <c r="A217" s="30"/>
      <c r="B217" s="30"/>
      <c r="C217" s="30"/>
      <c r="D217" s="59"/>
      <c r="E217" s="62"/>
      <c r="F217" s="30"/>
      <c r="G217" s="30"/>
      <c r="H217" s="30"/>
      <c r="I217" s="30"/>
      <c r="J217" s="59"/>
      <c r="K217" s="62"/>
      <c r="L217" s="30"/>
    </row>
    <row r="218" spans="1:12" x14ac:dyDescent="0.25">
      <c r="A218" s="30"/>
      <c r="B218" s="30"/>
      <c r="C218" s="30"/>
      <c r="D218" s="59"/>
      <c r="E218" s="62"/>
      <c r="F218" s="30"/>
      <c r="G218" s="30"/>
      <c r="H218" s="30"/>
      <c r="I218" s="30"/>
      <c r="J218" s="59"/>
      <c r="K218" s="62"/>
      <c r="L218" s="30"/>
    </row>
    <row r="219" spans="1:12" x14ac:dyDescent="0.25">
      <c r="A219" s="30"/>
      <c r="B219" s="30"/>
      <c r="C219" s="30"/>
      <c r="D219" s="59"/>
      <c r="E219" s="62"/>
      <c r="F219" s="30"/>
      <c r="G219" s="30"/>
      <c r="H219" s="30"/>
      <c r="I219" s="30"/>
      <c r="J219" s="59"/>
      <c r="K219" s="62"/>
      <c r="L219" s="30"/>
    </row>
    <row r="220" spans="1:12" x14ac:dyDescent="0.25">
      <c r="A220" s="30"/>
      <c r="B220" s="30"/>
      <c r="C220" s="30"/>
      <c r="D220" s="59"/>
      <c r="E220" s="62"/>
      <c r="F220" s="30"/>
      <c r="G220" s="30"/>
      <c r="H220" s="30"/>
      <c r="I220" s="30"/>
      <c r="J220" s="59"/>
      <c r="K220" s="62"/>
      <c r="L220" s="30"/>
    </row>
  </sheetData>
  <mergeCells count="537">
    <mergeCell ref="B206:C206"/>
    <mergeCell ref="H206:I206"/>
    <mergeCell ref="B165:C165"/>
    <mergeCell ref="H165:I165"/>
    <mergeCell ref="B171:C171"/>
    <mergeCell ref="H171:I171"/>
    <mergeCell ref="B177:C177"/>
    <mergeCell ref="H177:I177"/>
    <mergeCell ref="B182:C182"/>
    <mergeCell ref="H182:I182"/>
    <mergeCell ref="B188:C188"/>
    <mergeCell ref="H188:I188"/>
    <mergeCell ref="A204:B204"/>
    <mergeCell ref="C204:E204"/>
    <mergeCell ref="I204:K204"/>
    <mergeCell ref="A205:B205"/>
    <mergeCell ref="C205:E205"/>
    <mergeCell ref="G205:H205"/>
    <mergeCell ref="I205:K205"/>
    <mergeCell ref="A192:B192"/>
    <mergeCell ref="C192:E192"/>
    <mergeCell ref="I192:K192"/>
    <mergeCell ref="B202:E202"/>
    <mergeCell ref="H202:K202"/>
    <mergeCell ref="A134:B134"/>
    <mergeCell ref="C134:E134"/>
    <mergeCell ref="I134:K134"/>
    <mergeCell ref="B144:E144"/>
    <mergeCell ref="H144:K144"/>
    <mergeCell ref="A145:B145"/>
    <mergeCell ref="C145:E145"/>
    <mergeCell ref="G145:H145"/>
    <mergeCell ref="B200:C200"/>
    <mergeCell ref="H200:I200"/>
    <mergeCell ref="B136:C136"/>
    <mergeCell ref="H136:I136"/>
    <mergeCell ref="B142:C142"/>
    <mergeCell ref="H142:I142"/>
    <mergeCell ref="B148:C148"/>
    <mergeCell ref="H148:I148"/>
    <mergeCell ref="B153:C153"/>
    <mergeCell ref="H153:I153"/>
    <mergeCell ref="G150:H150"/>
    <mergeCell ref="I150:K150"/>
    <mergeCell ref="A147:B147"/>
    <mergeCell ref="C147:E147"/>
    <mergeCell ref="G147:H147"/>
    <mergeCell ref="I147:K147"/>
    <mergeCell ref="A123:B123"/>
    <mergeCell ref="C123:E123"/>
    <mergeCell ref="G123:H123"/>
    <mergeCell ref="I123:K123"/>
    <mergeCell ref="B124:C124"/>
    <mergeCell ref="H124:I124"/>
    <mergeCell ref="B126:E126"/>
    <mergeCell ref="H126:K126"/>
    <mergeCell ref="B130:C130"/>
    <mergeCell ref="H130:I130"/>
    <mergeCell ref="A121:B121"/>
    <mergeCell ref="C121:E121"/>
    <mergeCell ref="G121:H121"/>
    <mergeCell ref="I121:K121"/>
    <mergeCell ref="A118:B118"/>
    <mergeCell ref="C118:E118"/>
    <mergeCell ref="G118:H118"/>
    <mergeCell ref="H119:I119"/>
    <mergeCell ref="B119:C119"/>
    <mergeCell ref="B120:E120"/>
    <mergeCell ref="H120:K120"/>
    <mergeCell ref="I118:K118"/>
    <mergeCell ref="B95:C95"/>
    <mergeCell ref="H95:I95"/>
    <mergeCell ref="B101:C101"/>
    <mergeCell ref="H101:I101"/>
    <mergeCell ref="B107:C107"/>
    <mergeCell ref="H107:I107"/>
    <mergeCell ref="B113:C113"/>
    <mergeCell ref="H113:I113"/>
    <mergeCell ref="A111:B111"/>
    <mergeCell ref="C111:E111"/>
    <mergeCell ref="I111:K111"/>
    <mergeCell ref="A112:B112"/>
    <mergeCell ref="C112:E112"/>
    <mergeCell ref="G112:H112"/>
    <mergeCell ref="I112:K112"/>
    <mergeCell ref="A99:B99"/>
    <mergeCell ref="C99:E99"/>
    <mergeCell ref="I99:K99"/>
    <mergeCell ref="B109:E109"/>
    <mergeCell ref="H109:K109"/>
    <mergeCell ref="A110:B110"/>
    <mergeCell ref="C110:E110"/>
    <mergeCell ref="G110:H110"/>
    <mergeCell ref="I110:K110"/>
    <mergeCell ref="B59:C59"/>
    <mergeCell ref="H59:I59"/>
    <mergeCell ref="B65:C65"/>
    <mergeCell ref="H65:I65"/>
    <mergeCell ref="B71:C71"/>
    <mergeCell ref="H71:I71"/>
    <mergeCell ref="B77:C77"/>
    <mergeCell ref="H77:I77"/>
    <mergeCell ref="A88:B88"/>
    <mergeCell ref="C88:E88"/>
    <mergeCell ref="G88:H88"/>
    <mergeCell ref="I88:K88"/>
    <mergeCell ref="A75:B75"/>
    <mergeCell ref="C75:E75"/>
    <mergeCell ref="G75:H75"/>
    <mergeCell ref="I75:K75"/>
    <mergeCell ref="B85:E85"/>
    <mergeCell ref="H85:K85"/>
    <mergeCell ref="A86:B86"/>
    <mergeCell ref="C86:E86"/>
    <mergeCell ref="A81:B81"/>
    <mergeCell ref="C81:E81"/>
    <mergeCell ref="G81:H81"/>
    <mergeCell ref="I81:K81"/>
    <mergeCell ref="C40:E40"/>
    <mergeCell ref="G40:H40"/>
    <mergeCell ref="B43:E43"/>
    <mergeCell ref="H43:K43"/>
    <mergeCell ref="A44:B44"/>
    <mergeCell ref="B55:E55"/>
    <mergeCell ref="H55:K55"/>
    <mergeCell ref="A56:B56"/>
    <mergeCell ref="C56:E56"/>
    <mergeCell ref="G56:H56"/>
    <mergeCell ref="I56:K56"/>
    <mergeCell ref="A52:B52"/>
    <mergeCell ref="C52:E52"/>
    <mergeCell ref="G52:H52"/>
    <mergeCell ref="I52:K52"/>
    <mergeCell ref="C44:E44"/>
    <mergeCell ref="G44:H44"/>
    <mergeCell ref="I44:K44"/>
    <mergeCell ref="B49:E49"/>
    <mergeCell ref="H49:K49"/>
    <mergeCell ref="A50:B50"/>
    <mergeCell ref="C50:E50"/>
    <mergeCell ref="G50:H50"/>
    <mergeCell ref="I50:K50"/>
    <mergeCell ref="G32:H32"/>
    <mergeCell ref="I32:K32"/>
    <mergeCell ref="I33:K33"/>
    <mergeCell ref="B29:C29"/>
    <mergeCell ref="H29:I29"/>
    <mergeCell ref="B47:C47"/>
    <mergeCell ref="H47:I47"/>
    <mergeCell ref="B53:C53"/>
    <mergeCell ref="H53:I53"/>
    <mergeCell ref="A34:B34"/>
    <mergeCell ref="C34:E34"/>
    <mergeCell ref="G34:H34"/>
    <mergeCell ref="A33:B33"/>
    <mergeCell ref="C33:E33"/>
    <mergeCell ref="C46:E46"/>
    <mergeCell ref="G46:H46"/>
    <mergeCell ref="H41:I41"/>
    <mergeCell ref="C45:E45"/>
    <mergeCell ref="G45:H45"/>
    <mergeCell ref="I45:K45"/>
    <mergeCell ref="B35:C35"/>
    <mergeCell ref="H35:I35"/>
    <mergeCell ref="B41:C41"/>
    <mergeCell ref="A40:B40"/>
    <mergeCell ref="I28:K28"/>
    <mergeCell ref="I34:K34"/>
    <mergeCell ref="I40:K40"/>
    <mergeCell ref="I46:K46"/>
    <mergeCell ref="A39:B39"/>
    <mergeCell ref="C39:E39"/>
    <mergeCell ref="G39:H39"/>
    <mergeCell ref="I39:K39"/>
    <mergeCell ref="A21:B21"/>
    <mergeCell ref="C21:E21"/>
    <mergeCell ref="C28:E28"/>
    <mergeCell ref="G28:H28"/>
    <mergeCell ref="A28:B28"/>
    <mergeCell ref="B37:E37"/>
    <mergeCell ref="H37:K37"/>
    <mergeCell ref="A38:B38"/>
    <mergeCell ref="C38:E38"/>
    <mergeCell ref="G38:H38"/>
    <mergeCell ref="I38:K38"/>
    <mergeCell ref="A45:B45"/>
    <mergeCell ref="B31:E31"/>
    <mergeCell ref="H31:K31"/>
    <mergeCell ref="A32:B32"/>
    <mergeCell ref="C32:E32"/>
    <mergeCell ref="A203:B203"/>
    <mergeCell ref="C203:E203"/>
    <mergeCell ref="G203:H203"/>
    <mergeCell ref="I203:K203"/>
    <mergeCell ref="A199:B199"/>
    <mergeCell ref="C199:E199"/>
    <mergeCell ref="G199:H199"/>
    <mergeCell ref="I199:K199"/>
    <mergeCell ref="A198:B198"/>
    <mergeCell ref="C198:E198"/>
    <mergeCell ref="I198:K198"/>
    <mergeCell ref="B196:E196"/>
    <mergeCell ref="H196:K196"/>
    <mergeCell ref="A197:B197"/>
    <mergeCell ref="C197:E197"/>
    <mergeCell ref="G197:H197"/>
    <mergeCell ref="I197:K197"/>
    <mergeCell ref="B194:C194"/>
    <mergeCell ref="H194:I194"/>
    <mergeCell ref="A193:B193"/>
    <mergeCell ref="C193:E193"/>
    <mergeCell ref="G193:H193"/>
    <mergeCell ref="I193:K193"/>
    <mergeCell ref="A180:B180"/>
    <mergeCell ref="C180:E180"/>
    <mergeCell ref="I180:K180"/>
    <mergeCell ref="B190:E190"/>
    <mergeCell ref="H190:K190"/>
    <mergeCell ref="A191:B191"/>
    <mergeCell ref="C191:E191"/>
    <mergeCell ref="G191:H191"/>
    <mergeCell ref="I191:K191"/>
    <mergeCell ref="A187:B187"/>
    <mergeCell ref="C187:E187"/>
    <mergeCell ref="G187:H187"/>
    <mergeCell ref="I187:K187"/>
    <mergeCell ref="A186:B186"/>
    <mergeCell ref="C186:E186"/>
    <mergeCell ref="I186:K186"/>
    <mergeCell ref="B184:E184"/>
    <mergeCell ref="H184:K184"/>
    <mergeCell ref="A185:B185"/>
    <mergeCell ref="C185:E185"/>
    <mergeCell ref="G185:H185"/>
    <mergeCell ref="I185:K185"/>
    <mergeCell ref="A181:B181"/>
    <mergeCell ref="C181:E181"/>
    <mergeCell ref="G181:H181"/>
    <mergeCell ref="I181:K181"/>
    <mergeCell ref="A169:B169"/>
    <mergeCell ref="C169:E169"/>
    <mergeCell ref="I169:K169"/>
    <mergeCell ref="B178:E178"/>
    <mergeCell ref="H178:K178"/>
    <mergeCell ref="A179:B179"/>
    <mergeCell ref="C179:E179"/>
    <mergeCell ref="G179:H179"/>
    <mergeCell ref="I179:K179"/>
    <mergeCell ref="A176:B176"/>
    <mergeCell ref="C176:E176"/>
    <mergeCell ref="G176:H176"/>
    <mergeCell ref="I176:K176"/>
    <mergeCell ref="A175:B175"/>
    <mergeCell ref="C175:E175"/>
    <mergeCell ref="I175:K175"/>
    <mergeCell ref="B173:E173"/>
    <mergeCell ref="H173:K173"/>
    <mergeCell ref="A174:B174"/>
    <mergeCell ref="C174:E174"/>
    <mergeCell ref="G174:H174"/>
    <mergeCell ref="I174:K174"/>
    <mergeCell ref="A170:B170"/>
    <mergeCell ref="C170:E170"/>
    <mergeCell ref="G170:H170"/>
    <mergeCell ref="I170:K170"/>
    <mergeCell ref="A157:B157"/>
    <mergeCell ref="C157:E157"/>
    <mergeCell ref="I157:K157"/>
    <mergeCell ref="B167:E167"/>
    <mergeCell ref="H167:K167"/>
    <mergeCell ref="A168:B168"/>
    <mergeCell ref="C168:E168"/>
    <mergeCell ref="G168:H168"/>
    <mergeCell ref="I168:K168"/>
    <mergeCell ref="A164:B164"/>
    <mergeCell ref="C164:E164"/>
    <mergeCell ref="G164:H164"/>
    <mergeCell ref="I164:K164"/>
    <mergeCell ref="A163:B163"/>
    <mergeCell ref="C163:E163"/>
    <mergeCell ref="I163:K163"/>
    <mergeCell ref="B161:E161"/>
    <mergeCell ref="H161:K161"/>
    <mergeCell ref="A162:B162"/>
    <mergeCell ref="C162:E162"/>
    <mergeCell ref="G162:H162"/>
    <mergeCell ref="I162:K162"/>
    <mergeCell ref="B159:C159"/>
    <mergeCell ref="H159:I159"/>
    <mergeCell ref="A158:B158"/>
    <mergeCell ref="C158:E158"/>
    <mergeCell ref="G158:H158"/>
    <mergeCell ref="I158:K158"/>
    <mergeCell ref="A146:B146"/>
    <mergeCell ref="C146:E146"/>
    <mergeCell ref="I146:K146"/>
    <mergeCell ref="B155:E155"/>
    <mergeCell ref="H155:K155"/>
    <mergeCell ref="A156:B156"/>
    <mergeCell ref="C156:E156"/>
    <mergeCell ref="G156:H156"/>
    <mergeCell ref="I156:K156"/>
    <mergeCell ref="A152:B152"/>
    <mergeCell ref="C152:E152"/>
    <mergeCell ref="G152:H152"/>
    <mergeCell ref="I152:K152"/>
    <mergeCell ref="A151:B151"/>
    <mergeCell ref="C151:E151"/>
    <mergeCell ref="I151:K151"/>
    <mergeCell ref="B149:E149"/>
    <mergeCell ref="H149:K149"/>
    <mergeCell ref="A150:B150"/>
    <mergeCell ref="C150:E150"/>
    <mergeCell ref="I145:K145"/>
    <mergeCell ref="A141:B141"/>
    <mergeCell ref="C141:E141"/>
    <mergeCell ref="G141:H141"/>
    <mergeCell ref="I141:K141"/>
    <mergeCell ref="A140:B140"/>
    <mergeCell ref="C140:E140"/>
    <mergeCell ref="I140:K140"/>
    <mergeCell ref="B138:E138"/>
    <mergeCell ref="H138:K138"/>
    <mergeCell ref="A139:B139"/>
    <mergeCell ref="C139:E139"/>
    <mergeCell ref="G139:H139"/>
    <mergeCell ref="I139:K139"/>
    <mergeCell ref="A135:B135"/>
    <mergeCell ref="C135:E135"/>
    <mergeCell ref="G135:H135"/>
    <mergeCell ref="I135:K135"/>
    <mergeCell ref="A122:B122"/>
    <mergeCell ref="C122:E122"/>
    <mergeCell ref="I122:K122"/>
    <mergeCell ref="B132:E132"/>
    <mergeCell ref="H132:K132"/>
    <mergeCell ref="A133:B133"/>
    <mergeCell ref="C133:E133"/>
    <mergeCell ref="G133:H133"/>
    <mergeCell ref="I133:K133"/>
    <mergeCell ref="A128:B128"/>
    <mergeCell ref="C128:E128"/>
    <mergeCell ref="I128:K128"/>
    <mergeCell ref="A127:B127"/>
    <mergeCell ref="C127:E127"/>
    <mergeCell ref="G127:H127"/>
    <mergeCell ref="I127:K127"/>
    <mergeCell ref="A129:B129"/>
    <mergeCell ref="C129:E129"/>
    <mergeCell ref="G129:H129"/>
    <mergeCell ref="I129:K129"/>
    <mergeCell ref="A117:B117"/>
    <mergeCell ref="C117:E117"/>
    <mergeCell ref="G117:H117"/>
    <mergeCell ref="I117:K117"/>
    <mergeCell ref="B115:E115"/>
    <mergeCell ref="H115:K115"/>
    <mergeCell ref="A116:B116"/>
    <mergeCell ref="C116:E116"/>
    <mergeCell ref="G116:H116"/>
    <mergeCell ref="I116:K116"/>
    <mergeCell ref="A106:B106"/>
    <mergeCell ref="C106:E106"/>
    <mergeCell ref="G106:H106"/>
    <mergeCell ref="I106:K106"/>
    <mergeCell ref="A105:B105"/>
    <mergeCell ref="C105:E105"/>
    <mergeCell ref="I105:K105"/>
    <mergeCell ref="B103:E103"/>
    <mergeCell ref="H103:K103"/>
    <mergeCell ref="A104:B104"/>
    <mergeCell ref="C104:E104"/>
    <mergeCell ref="G104:H104"/>
    <mergeCell ref="I104:K104"/>
    <mergeCell ref="A100:B100"/>
    <mergeCell ref="C100:E100"/>
    <mergeCell ref="G100:H100"/>
    <mergeCell ref="I100:K100"/>
    <mergeCell ref="A87:B87"/>
    <mergeCell ref="C87:E87"/>
    <mergeCell ref="G87:H87"/>
    <mergeCell ref="I87:K87"/>
    <mergeCell ref="B97:E97"/>
    <mergeCell ref="H97:K97"/>
    <mergeCell ref="A98:B98"/>
    <mergeCell ref="C98:E98"/>
    <mergeCell ref="G98:H98"/>
    <mergeCell ref="I98:K98"/>
    <mergeCell ref="A94:B94"/>
    <mergeCell ref="C94:E94"/>
    <mergeCell ref="G94:H94"/>
    <mergeCell ref="I94:K94"/>
    <mergeCell ref="A93:B93"/>
    <mergeCell ref="C93:E93"/>
    <mergeCell ref="I93:K93"/>
    <mergeCell ref="B91:E91"/>
    <mergeCell ref="H91:K91"/>
    <mergeCell ref="A92:B92"/>
    <mergeCell ref="C92:E92"/>
    <mergeCell ref="G92:H92"/>
    <mergeCell ref="I92:K92"/>
    <mergeCell ref="G86:H86"/>
    <mergeCell ref="I86:K86"/>
    <mergeCell ref="A82:B82"/>
    <mergeCell ref="C82:E82"/>
    <mergeCell ref="G82:H82"/>
    <mergeCell ref="I82:K82"/>
    <mergeCell ref="B89:C89"/>
    <mergeCell ref="H89:I89"/>
    <mergeCell ref="B83:C83"/>
    <mergeCell ref="H83:I83"/>
    <mergeCell ref="B79:E79"/>
    <mergeCell ref="H79:K79"/>
    <mergeCell ref="A80:B80"/>
    <mergeCell ref="C80:E80"/>
    <mergeCell ref="G80:H80"/>
    <mergeCell ref="I80:K80"/>
    <mergeCell ref="A76:B76"/>
    <mergeCell ref="C76:E76"/>
    <mergeCell ref="G76:H76"/>
    <mergeCell ref="I76:K76"/>
    <mergeCell ref="B73:E73"/>
    <mergeCell ref="H73:K73"/>
    <mergeCell ref="A74:B74"/>
    <mergeCell ref="C74:E74"/>
    <mergeCell ref="G74:H74"/>
    <mergeCell ref="I74:K74"/>
    <mergeCell ref="A70:B70"/>
    <mergeCell ref="C70:E70"/>
    <mergeCell ref="G70:H70"/>
    <mergeCell ref="I70:K70"/>
    <mergeCell ref="B67:E67"/>
    <mergeCell ref="H67:K67"/>
    <mergeCell ref="A68:B68"/>
    <mergeCell ref="C68:E68"/>
    <mergeCell ref="G68:H68"/>
    <mergeCell ref="I68:K68"/>
    <mergeCell ref="A69:B69"/>
    <mergeCell ref="C69:E69"/>
    <mergeCell ref="G69:H69"/>
    <mergeCell ref="I69:K69"/>
    <mergeCell ref="A64:B64"/>
    <mergeCell ref="C64:E64"/>
    <mergeCell ref="G64:H64"/>
    <mergeCell ref="I64:K64"/>
    <mergeCell ref="B61:E61"/>
    <mergeCell ref="H61:K61"/>
    <mergeCell ref="A62:B62"/>
    <mergeCell ref="C62:E62"/>
    <mergeCell ref="G62:H62"/>
    <mergeCell ref="I62:K62"/>
    <mergeCell ref="I63:K63"/>
    <mergeCell ref="A63:B63"/>
    <mergeCell ref="C63:E63"/>
    <mergeCell ref="A58:B58"/>
    <mergeCell ref="C58:E58"/>
    <mergeCell ref="G58:H58"/>
    <mergeCell ref="I58:K58"/>
    <mergeCell ref="C57:E57"/>
    <mergeCell ref="G57:H57"/>
    <mergeCell ref="I57:K57"/>
    <mergeCell ref="A51:B51"/>
    <mergeCell ref="C51:E51"/>
    <mergeCell ref="G51:H51"/>
    <mergeCell ref="I51:K51"/>
    <mergeCell ref="A57:B57"/>
    <mergeCell ref="B25:E25"/>
    <mergeCell ref="H25:K25"/>
    <mergeCell ref="A26:B26"/>
    <mergeCell ref="C26:E26"/>
    <mergeCell ref="G26:H26"/>
    <mergeCell ref="I26:K26"/>
    <mergeCell ref="A27:B27"/>
    <mergeCell ref="C27:E27"/>
    <mergeCell ref="G27:H27"/>
    <mergeCell ref="I27:K27"/>
    <mergeCell ref="B23:C23"/>
    <mergeCell ref="H23:I23"/>
    <mergeCell ref="A22:B22"/>
    <mergeCell ref="C22:E22"/>
    <mergeCell ref="G22:H22"/>
    <mergeCell ref="G21:H21"/>
    <mergeCell ref="I21:K21"/>
    <mergeCell ref="B19:E19"/>
    <mergeCell ref="H19:K19"/>
    <mergeCell ref="A20:B20"/>
    <mergeCell ref="C20:E20"/>
    <mergeCell ref="G20:H20"/>
    <mergeCell ref="I20:K20"/>
    <mergeCell ref="I22:K22"/>
    <mergeCell ref="H7:K7"/>
    <mergeCell ref="A8:B8"/>
    <mergeCell ref="C8:E8"/>
    <mergeCell ref="G8:H8"/>
    <mergeCell ref="I8:K8"/>
    <mergeCell ref="I9:K9"/>
    <mergeCell ref="I10:K10"/>
    <mergeCell ref="B17:C17"/>
    <mergeCell ref="H17:I17"/>
    <mergeCell ref="A16:B16"/>
    <mergeCell ref="C16:E16"/>
    <mergeCell ref="G16:H16"/>
    <mergeCell ref="B13:E13"/>
    <mergeCell ref="H13:K13"/>
    <mergeCell ref="A14:B14"/>
    <mergeCell ref="C14:E14"/>
    <mergeCell ref="G14:H14"/>
    <mergeCell ref="I14:K14"/>
    <mergeCell ref="A15:B15"/>
    <mergeCell ref="C15:E15"/>
    <mergeCell ref="G15:H15"/>
    <mergeCell ref="I15:K15"/>
    <mergeCell ref="I16:K16"/>
    <mergeCell ref="A46:B46"/>
    <mergeCell ref="B5:C5"/>
    <mergeCell ref="H5:I5"/>
    <mergeCell ref="A4:B4"/>
    <mergeCell ref="C4:E4"/>
    <mergeCell ref="G4:H4"/>
    <mergeCell ref="A3:B3"/>
    <mergeCell ref="C3:E3"/>
    <mergeCell ref="B1:E1"/>
    <mergeCell ref="H1:K1"/>
    <mergeCell ref="A2:B2"/>
    <mergeCell ref="C2:E2"/>
    <mergeCell ref="G2:H2"/>
    <mergeCell ref="I2:K2"/>
    <mergeCell ref="I3:K3"/>
    <mergeCell ref="I4:K4"/>
    <mergeCell ref="B11:C11"/>
    <mergeCell ref="H11:I11"/>
    <mergeCell ref="A10:B10"/>
    <mergeCell ref="C10:E10"/>
    <mergeCell ref="G10:H10"/>
    <mergeCell ref="A9:B9"/>
    <mergeCell ref="C9:E9"/>
    <mergeCell ref="B7:E7"/>
  </mergeCells>
  <conditionalFormatting sqref="H1">
    <cfRule type="cellIs" dxfId="165" priority="1057" operator="equal">
      <formula>"open"</formula>
    </cfRule>
    <cfRule type="cellIs" dxfId="164" priority="1058" operator="equal">
      <formula>"closed"</formula>
    </cfRule>
  </conditionalFormatting>
  <conditionalFormatting sqref="B1:E1">
    <cfRule type="cellIs" dxfId="163" priority="1054" operator="equal">
      <formula>"closed"</formula>
    </cfRule>
    <cfRule type="cellIs" dxfId="162" priority="1055" operator="equal">
      <formula>"open"</formula>
    </cfRule>
  </conditionalFormatting>
  <conditionalFormatting sqref="H19:K19">
    <cfRule type="cellIs" dxfId="161" priority="298" operator="equal">
      <formula>"closed"</formula>
    </cfRule>
    <cfRule type="cellIs" dxfId="160" priority="299" operator="equal">
      <formula>"open"</formula>
    </cfRule>
  </conditionalFormatting>
  <conditionalFormatting sqref="H25:K25">
    <cfRule type="cellIs" dxfId="159" priority="292" operator="equal">
      <formula>"closed"</formula>
    </cfRule>
    <cfRule type="cellIs" dxfId="158" priority="293" operator="equal">
      <formula>"open"</formula>
    </cfRule>
  </conditionalFormatting>
  <conditionalFormatting sqref="H13:K13">
    <cfRule type="cellIs" dxfId="157" priority="300" operator="equal">
      <formula>"closed"</formula>
    </cfRule>
    <cfRule type="cellIs" dxfId="156" priority="301" operator="equal">
      <formula>"open"</formula>
    </cfRule>
  </conditionalFormatting>
  <conditionalFormatting sqref="H7">
    <cfRule type="cellIs" dxfId="155" priority="497" operator="equal">
      <formula>"open"</formula>
    </cfRule>
    <cfRule type="cellIs" dxfId="154" priority="498" operator="equal">
      <formula>"closed"</formula>
    </cfRule>
  </conditionalFormatting>
  <conditionalFormatting sqref="B7:E7">
    <cfRule type="cellIs" dxfId="153" priority="494" operator="equal">
      <formula>"closed"</formula>
    </cfRule>
    <cfRule type="cellIs" dxfId="152" priority="495" operator="equal">
      <formula>"open"</formula>
    </cfRule>
  </conditionalFormatting>
  <conditionalFormatting sqref="B49:E49">
    <cfRule type="cellIs" dxfId="151" priority="155" operator="equal">
      <formula>"closed"</formula>
    </cfRule>
    <cfRule type="cellIs" dxfId="150" priority="156" operator="equal">
      <formula>"open"</formula>
    </cfRule>
  </conditionalFormatting>
  <conditionalFormatting sqref="H31">
    <cfRule type="cellIs" dxfId="149" priority="171" operator="equal">
      <formula>"open"</formula>
    </cfRule>
    <cfRule type="cellIs" dxfId="148" priority="172" operator="equal">
      <formula>"closed"</formula>
    </cfRule>
  </conditionalFormatting>
  <conditionalFormatting sqref="H43:K43">
    <cfRule type="cellIs" dxfId="147" priority="159" operator="equal">
      <formula>"closed"</formula>
    </cfRule>
    <cfRule type="cellIs" dxfId="146" priority="160" operator="equal">
      <formula>"open"</formula>
    </cfRule>
  </conditionalFormatting>
  <conditionalFormatting sqref="H37">
    <cfRule type="cellIs" dxfId="145" priority="166" operator="equal">
      <formula>"open"</formula>
    </cfRule>
    <cfRule type="cellIs" dxfId="144" priority="167" operator="equal">
      <formula>"closed"</formula>
    </cfRule>
  </conditionalFormatting>
  <conditionalFormatting sqref="H49:K49">
    <cfRule type="cellIs" dxfId="143" priority="157" operator="equal">
      <formula>"closed"</formula>
    </cfRule>
    <cfRule type="cellIs" dxfId="142" priority="158" operator="equal">
      <formula>"open"</formula>
    </cfRule>
  </conditionalFormatting>
  <conditionalFormatting sqref="B61:E61">
    <cfRule type="cellIs" dxfId="141" priority="146" operator="equal">
      <formula>"closed"</formula>
    </cfRule>
    <cfRule type="cellIs" dxfId="140" priority="147" operator="equal">
      <formula>"open"</formula>
    </cfRule>
  </conditionalFormatting>
  <conditionalFormatting sqref="B149:E149">
    <cfRule type="cellIs" dxfId="139" priority="80" operator="equal">
      <formula>"closed"</formula>
    </cfRule>
    <cfRule type="cellIs" dxfId="138" priority="81" operator="equal">
      <formula>"open"</formula>
    </cfRule>
  </conditionalFormatting>
  <conditionalFormatting sqref="H79:K79">
    <cfRule type="cellIs" dxfId="137" priority="135" operator="equal">
      <formula>"closed"</formula>
    </cfRule>
    <cfRule type="cellIs" dxfId="136" priority="136" operator="equal">
      <formula>"open"</formula>
    </cfRule>
  </conditionalFormatting>
  <conditionalFormatting sqref="H115:K115">
    <cfRule type="cellIs" dxfId="135" priority="107" operator="equal">
      <formula>"closed"</formula>
    </cfRule>
    <cfRule type="cellIs" dxfId="134" priority="108" operator="equal">
      <formula>"open"</formula>
    </cfRule>
  </conditionalFormatting>
  <conditionalFormatting sqref="H126">
    <cfRule type="cellIs" dxfId="133" priority="100" operator="equal">
      <formula>"open"</formula>
    </cfRule>
    <cfRule type="cellIs" dxfId="132" priority="101" operator="equal">
      <formula>"closed"</formula>
    </cfRule>
  </conditionalFormatting>
  <conditionalFormatting sqref="H120">
    <cfRule type="cellIs" dxfId="131" priority="105" operator="equal">
      <formula>"open"</formula>
    </cfRule>
    <cfRule type="cellIs" dxfId="130" priority="106" operator="equal">
      <formula>"closed"</formula>
    </cfRule>
  </conditionalFormatting>
  <conditionalFormatting sqref="B120:E120">
    <cfRule type="cellIs" dxfId="129" priority="102" operator="equal">
      <formula>"closed"</formula>
    </cfRule>
    <cfRule type="cellIs" dxfId="128" priority="103" operator="equal">
      <formula>"open"</formula>
    </cfRule>
  </conditionalFormatting>
  <conditionalFormatting sqref="B115:E115">
    <cfRule type="cellIs" dxfId="127" priority="109" operator="equal">
      <formula>"closed"</formula>
    </cfRule>
    <cfRule type="cellIs" dxfId="126" priority="110" operator="equal">
      <formula>"open"</formula>
    </cfRule>
  </conditionalFormatting>
  <conditionalFormatting sqref="H144:K144">
    <cfRule type="cellIs" dxfId="125" priority="85" operator="equal">
      <formula>"closed"</formula>
    </cfRule>
    <cfRule type="cellIs" dxfId="124" priority="86" operator="equal">
      <formula>"open"</formula>
    </cfRule>
  </conditionalFormatting>
  <conditionalFormatting sqref="H149">
    <cfRule type="cellIs" dxfId="123" priority="83" operator="equal">
      <formula>"open"</formula>
    </cfRule>
    <cfRule type="cellIs" dxfId="122" priority="84" operator="equal">
      <formula>"closed"</formula>
    </cfRule>
  </conditionalFormatting>
  <conditionalFormatting sqref="B13:E13">
    <cfRule type="cellIs" dxfId="121" priority="16" operator="equal">
      <formula>"closed"</formula>
    </cfRule>
    <cfRule type="cellIs" dxfId="120" priority="17" operator="equal">
      <formula>"open"</formula>
    </cfRule>
  </conditionalFormatting>
  <conditionalFormatting sqref="B25:E25">
    <cfRule type="cellIs" dxfId="119" priority="10" operator="equal">
      <formula>"closed"</formula>
    </cfRule>
    <cfRule type="cellIs" dxfId="118" priority="11" operator="equal">
      <formula>"open"</formula>
    </cfRule>
  </conditionalFormatting>
  <conditionalFormatting sqref="H173:K173">
    <cfRule type="cellIs" dxfId="117" priority="63" operator="equal">
      <formula>"closed"</formula>
    </cfRule>
    <cfRule type="cellIs" dxfId="116" priority="64" operator="equal">
      <formula>"open"</formula>
    </cfRule>
  </conditionalFormatting>
  <conditionalFormatting sqref="B73:E73">
    <cfRule type="cellIs" dxfId="115" priority="139" operator="equal">
      <formula>"closed"</formula>
    </cfRule>
    <cfRule type="cellIs" dxfId="114" priority="140" operator="equal">
      <formula>"open"</formula>
    </cfRule>
  </conditionalFormatting>
  <conditionalFormatting sqref="H73:K73">
    <cfRule type="cellIs" dxfId="113" priority="137" operator="equal">
      <formula>"closed"</formula>
    </cfRule>
    <cfRule type="cellIs" dxfId="112" priority="138" operator="equal">
      <formula>"open"</formula>
    </cfRule>
  </conditionalFormatting>
  <conditionalFormatting sqref="B103:E103">
    <cfRule type="cellIs" dxfId="111" priority="117" operator="equal">
      <formula>"closed"</formula>
    </cfRule>
    <cfRule type="cellIs" dxfId="110" priority="118" operator="equal">
      <formula>"open"</formula>
    </cfRule>
  </conditionalFormatting>
  <conditionalFormatting sqref="B55:E55">
    <cfRule type="cellIs" dxfId="109" priority="153" operator="equal">
      <formula>"closed"</formula>
    </cfRule>
    <cfRule type="cellIs" dxfId="108" priority="154" operator="equal">
      <formula>"open"</formula>
    </cfRule>
  </conditionalFormatting>
  <conditionalFormatting sqref="H55:K55">
    <cfRule type="cellIs" dxfId="107" priority="151" operator="equal">
      <formula>"closed"</formula>
    </cfRule>
    <cfRule type="cellIs" dxfId="106" priority="152" operator="equal">
      <formula>"open"</formula>
    </cfRule>
  </conditionalFormatting>
  <conditionalFormatting sqref="H61">
    <cfRule type="cellIs" dxfId="105" priority="149" operator="equal">
      <formula>"open"</formula>
    </cfRule>
    <cfRule type="cellIs" dxfId="104" priority="150" operator="equal">
      <formula>"closed"</formula>
    </cfRule>
  </conditionalFormatting>
  <conditionalFormatting sqref="B91:E91">
    <cfRule type="cellIs" dxfId="103" priority="124" operator="equal">
      <formula>"closed"</formula>
    </cfRule>
    <cfRule type="cellIs" dxfId="102" priority="125" operator="equal">
      <formula>"open"</formula>
    </cfRule>
  </conditionalFormatting>
  <conditionalFormatting sqref="H67">
    <cfRule type="cellIs" dxfId="101" priority="144" operator="equal">
      <formula>"open"</formula>
    </cfRule>
    <cfRule type="cellIs" dxfId="100" priority="145" operator="equal">
      <formula>"closed"</formula>
    </cfRule>
  </conditionalFormatting>
  <conditionalFormatting sqref="B67:E67">
    <cfRule type="cellIs" dxfId="99" priority="141" operator="equal">
      <formula>"closed"</formula>
    </cfRule>
    <cfRule type="cellIs" dxfId="98" priority="142" operator="equal">
      <formula>"open"</formula>
    </cfRule>
  </conditionalFormatting>
  <conditionalFormatting sqref="H103:K103">
    <cfRule type="cellIs" dxfId="97" priority="115" operator="equal">
      <formula>"closed"</formula>
    </cfRule>
    <cfRule type="cellIs" dxfId="96" priority="116" operator="equal">
      <formula>"open"</formula>
    </cfRule>
  </conditionalFormatting>
  <conditionalFormatting sqref="H109:K109">
    <cfRule type="cellIs" dxfId="95" priority="113" operator="equal">
      <formula>"closed"</formula>
    </cfRule>
    <cfRule type="cellIs" dxfId="94" priority="114" operator="equal">
      <formula>"open"</formula>
    </cfRule>
  </conditionalFormatting>
  <conditionalFormatting sqref="B79:E79">
    <cfRule type="cellIs" dxfId="93" priority="133" operator="equal">
      <formula>"closed"</formula>
    </cfRule>
    <cfRule type="cellIs" dxfId="92" priority="134" operator="equal">
      <formula>"open"</formula>
    </cfRule>
  </conditionalFormatting>
  <conditionalFormatting sqref="B85:E85">
    <cfRule type="cellIs" dxfId="91" priority="131" operator="equal">
      <formula>"closed"</formula>
    </cfRule>
    <cfRule type="cellIs" dxfId="90" priority="132" operator="equal">
      <formula>"open"</formula>
    </cfRule>
  </conditionalFormatting>
  <conditionalFormatting sqref="H85:K85">
    <cfRule type="cellIs" dxfId="89" priority="129" operator="equal">
      <formula>"closed"</formula>
    </cfRule>
    <cfRule type="cellIs" dxfId="88" priority="130" operator="equal">
      <formula>"open"</formula>
    </cfRule>
  </conditionalFormatting>
  <conditionalFormatting sqref="H91">
    <cfRule type="cellIs" dxfId="87" priority="127" operator="equal">
      <formula>"open"</formula>
    </cfRule>
    <cfRule type="cellIs" dxfId="86" priority="128" operator="equal">
      <formula>"closed"</formula>
    </cfRule>
  </conditionalFormatting>
  <conditionalFormatting sqref="H97">
    <cfRule type="cellIs" dxfId="85" priority="122" operator="equal">
      <formula>"open"</formula>
    </cfRule>
    <cfRule type="cellIs" dxfId="84" priority="123" operator="equal">
      <formula>"closed"</formula>
    </cfRule>
  </conditionalFormatting>
  <conditionalFormatting sqref="B97:E97">
    <cfRule type="cellIs" dxfId="83" priority="119" operator="equal">
      <formula>"closed"</formula>
    </cfRule>
    <cfRule type="cellIs" dxfId="82" priority="120" operator="equal">
      <formula>"open"</formula>
    </cfRule>
  </conditionalFormatting>
  <conditionalFormatting sqref="B126:E126">
    <cfRule type="cellIs" dxfId="81" priority="97" operator="equal">
      <formula>"closed"</formula>
    </cfRule>
    <cfRule type="cellIs" dxfId="80" priority="98" operator="equal">
      <formula>"open"</formula>
    </cfRule>
  </conditionalFormatting>
  <conditionalFormatting sqref="B132:E132">
    <cfRule type="cellIs" dxfId="79" priority="95" operator="equal">
      <formula>"closed"</formula>
    </cfRule>
    <cfRule type="cellIs" dxfId="78" priority="96" operator="equal">
      <formula>"open"</formula>
    </cfRule>
  </conditionalFormatting>
  <conditionalFormatting sqref="B109:E109">
    <cfRule type="cellIs" dxfId="77" priority="111" operator="equal">
      <formula>"closed"</formula>
    </cfRule>
    <cfRule type="cellIs" dxfId="76" priority="112" operator="equal">
      <formula>"open"</formula>
    </cfRule>
  </conditionalFormatting>
  <conditionalFormatting sqref="H132:K132">
    <cfRule type="cellIs" dxfId="75" priority="93" operator="equal">
      <formula>"closed"</formula>
    </cfRule>
    <cfRule type="cellIs" dxfId="74" priority="94" operator="equal">
      <formula>"open"</formula>
    </cfRule>
  </conditionalFormatting>
  <conditionalFormatting sqref="H138:K138">
    <cfRule type="cellIs" dxfId="73" priority="91" operator="equal">
      <formula>"closed"</formula>
    </cfRule>
    <cfRule type="cellIs" dxfId="72" priority="92" operator="equal">
      <formula>"open"</formula>
    </cfRule>
  </conditionalFormatting>
  <conditionalFormatting sqref="B138:E138">
    <cfRule type="cellIs" dxfId="71" priority="89" operator="equal">
      <formula>"closed"</formula>
    </cfRule>
    <cfRule type="cellIs" dxfId="70" priority="90" operator="equal">
      <formula>"open"</formula>
    </cfRule>
  </conditionalFormatting>
  <conditionalFormatting sqref="B144:E144">
    <cfRule type="cellIs" dxfId="69" priority="87" operator="equal">
      <formula>"closed"</formula>
    </cfRule>
    <cfRule type="cellIs" dxfId="68" priority="88" operator="equal">
      <formula>"open"</formula>
    </cfRule>
  </conditionalFormatting>
  <conditionalFormatting sqref="H202:K202">
    <cfRule type="cellIs" dxfId="67" priority="41" operator="equal">
      <formula>"closed"</formula>
    </cfRule>
    <cfRule type="cellIs" dxfId="66" priority="42" operator="equal">
      <formula>"open"</formula>
    </cfRule>
  </conditionalFormatting>
  <conditionalFormatting sqref="H178">
    <cfRule type="cellIs" dxfId="65" priority="61" operator="equal">
      <formula>"open"</formula>
    </cfRule>
    <cfRule type="cellIs" dxfId="64" priority="62" operator="equal">
      <formula>"closed"</formula>
    </cfRule>
  </conditionalFormatting>
  <conditionalFormatting sqref="B178:E178">
    <cfRule type="cellIs" dxfId="63" priority="58" operator="equal">
      <formula>"closed"</formula>
    </cfRule>
    <cfRule type="cellIs" dxfId="62" priority="59" operator="equal">
      <formula>"open"</formula>
    </cfRule>
  </conditionalFormatting>
  <conditionalFormatting sqref="H155">
    <cfRule type="cellIs" dxfId="61" priority="78" operator="equal">
      <formula>"open"</formula>
    </cfRule>
    <cfRule type="cellIs" dxfId="60" priority="79" operator="equal">
      <formula>"closed"</formula>
    </cfRule>
  </conditionalFormatting>
  <conditionalFormatting sqref="B155:E155">
    <cfRule type="cellIs" dxfId="59" priority="75" operator="equal">
      <formula>"closed"</formula>
    </cfRule>
    <cfRule type="cellIs" dxfId="58" priority="76" operator="equal">
      <formula>"open"</formula>
    </cfRule>
  </conditionalFormatting>
  <conditionalFormatting sqref="B161:E161">
    <cfRule type="cellIs" dxfId="57" priority="73" operator="equal">
      <formula>"closed"</formula>
    </cfRule>
    <cfRule type="cellIs" dxfId="56" priority="74" operator="equal">
      <formula>"open"</formula>
    </cfRule>
  </conditionalFormatting>
  <conditionalFormatting sqref="H161:K161">
    <cfRule type="cellIs" dxfId="55" priority="71" operator="equal">
      <formula>"closed"</formula>
    </cfRule>
    <cfRule type="cellIs" dxfId="54" priority="72" operator="equal">
      <formula>"open"</formula>
    </cfRule>
  </conditionalFormatting>
  <conditionalFormatting sqref="H167:K167">
    <cfRule type="cellIs" dxfId="53" priority="69" operator="equal">
      <formula>"closed"</formula>
    </cfRule>
    <cfRule type="cellIs" dxfId="52" priority="70" operator="equal">
      <formula>"open"</formula>
    </cfRule>
  </conditionalFormatting>
  <conditionalFormatting sqref="B167:E167">
    <cfRule type="cellIs" dxfId="51" priority="67" operator="equal">
      <formula>"closed"</formula>
    </cfRule>
    <cfRule type="cellIs" dxfId="50" priority="68" operator="equal">
      <formula>"open"</formula>
    </cfRule>
  </conditionalFormatting>
  <conditionalFormatting sqref="B173:E173">
    <cfRule type="cellIs" dxfId="49" priority="65" operator="equal">
      <formula>"closed"</formula>
    </cfRule>
    <cfRule type="cellIs" dxfId="48" priority="66" operator="equal">
      <formula>"open"</formula>
    </cfRule>
  </conditionalFormatting>
  <conditionalFormatting sqref="H184">
    <cfRule type="cellIs" dxfId="47" priority="56" operator="equal">
      <formula>"open"</formula>
    </cfRule>
    <cfRule type="cellIs" dxfId="46" priority="57" operator="equal">
      <formula>"closed"</formula>
    </cfRule>
  </conditionalFormatting>
  <conditionalFormatting sqref="B184:E184">
    <cfRule type="cellIs" dxfId="45" priority="53" operator="equal">
      <formula>"closed"</formula>
    </cfRule>
    <cfRule type="cellIs" dxfId="44" priority="54" operator="equal">
      <formula>"open"</formula>
    </cfRule>
  </conditionalFormatting>
  <conditionalFormatting sqref="B190:E190">
    <cfRule type="cellIs" dxfId="43" priority="51" operator="equal">
      <formula>"closed"</formula>
    </cfRule>
    <cfRule type="cellIs" dxfId="42" priority="52" operator="equal">
      <formula>"open"</formula>
    </cfRule>
  </conditionalFormatting>
  <conditionalFormatting sqref="H190:K190">
    <cfRule type="cellIs" dxfId="41" priority="49" operator="equal">
      <formula>"closed"</formula>
    </cfRule>
    <cfRule type="cellIs" dxfId="40" priority="50" operator="equal">
      <formula>"open"</formula>
    </cfRule>
  </conditionalFormatting>
  <conditionalFormatting sqref="H196:K196">
    <cfRule type="cellIs" dxfId="39" priority="47" operator="equal">
      <formula>"closed"</formula>
    </cfRule>
    <cfRule type="cellIs" dxfId="38" priority="48" operator="equal">
      <formula>"open"</formula>
    </cfRule>
  </conditionalFormatting>
  <conditionalFormatting sqref="B196:E196">
    <cfRule type="cellIs" dxfId="37" priority="45" operator="equal">
      <formula>"closed"</formula>
    </cfRule>
    <cfRule type="cellIs" dxfId="36" priority="46" operator="equal">
      <formula>"open"</formula>
    </cfRule>
  </conditionalFormatting>
  <conditionalFormatting sqref="B202:E202">
    <cfRule type="cellIs" dxfId="35" priority="43" operator="equal">
      <formula>"closed"</formula>
    </cfRule>
    <cfRule type="cellIs" dxfId="34" priority="44" operator="equal">
      <formula>"open"</formula>
    </cfRule>
  </conditionalFormatting>
  <conditionalFormatting sqref="B19:E19">
    <cfRule type="cellIs" dxfId="33" priority="13" operator="equal">
      <formula>"closed"</formula>
    </cfRule>
    <cfRule type="cellIs" dxfId="32" priority="14" operator="equal">
      <formula>"open"</formula>
    </cfRule>
  </conditionalFormatting>
  <conditionalFormatting sqref="B31:E31">
    <cfRule type="cellIs" dxfId="31" priority="7" operator="equal">
      <formula>"closed"</formula>
    </cfRule>
    <cfRule type="cellIs" dxfId="30" priority="8" operator="equal">
      <formula>"open"</formula>
    </cfRule>
  </conditionalFormatting>
  <conditionalFormatting sqref="B37:E37">
    <cfRule type="cellIs" dxfId="29" priority="4" operator="equal">
      <formula>"closed"</formula>
    </cfRule>
    <cfRule type="cellIs" dxfId="28" priority="5" operator="equal">
      <formula>"open"</formula>
    </cfRule>
  </conditionalFormatting>
  <conditionalFormatting sqref="B43:E43">
    <cfRule type="cellIs" dxfId="27" priority="1" operator="equal">
      <formula>"closed"</formula>
    </cfRule>
    <cfRule type="cellIs" dxfId="26" priority="2" operator="equal">
      <formula>"open"</formula>
    </cfRule>
  </conditionalFormatting>
  <printOptions horizontalCentered="1" verticalCentered="1"/>
  <pageMargins left="0.16" right="0.16" top="0.5" bottom="0.5" header="0.5" footer="0.5"/>
  <pageSetup orientation="portrait" r:id="rId1"/>
  <rowBreaks count="2" manualBreakCount="2">
    <brk id="148" max="16383" man="1"/>
    <brk id="177"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locked="0" defaultSize="0" print="0" autoFill="0" autoPict="0" macro="[0]!Module5.RunMerge">
                <anchor moveWithCells="1" sizeWithCells="1">
                  <from>
                    <xdr:col>12</xdr:col>
                    <xdr:colOff>9525</xdr:colOff>
                    <xdr:row>1</xdr:row>
                    <xdr:rowOff>19050</xdr:rowOff>
                  </from>
                  <to>
                    <xdr:col>14</xdr:col>
                    <xdr:colOff>0</xdr:colOff>
                    <xdr:row>3</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1056" operator="containsText" id="{2B24145E-C05B-4B8F-898D-0F3194A2B74F}">
            <xm:f>NOT(ISERROR(SEARCH("open",G1)))</xm:f>
            <xm:f>"open"</xm:f>
            <x14:dxf>
              <font>
                <b/>
                <i val="0"/>
              </font>
              <fill>
                <patternFill>
                  <bgColor rgb="FF00B050"/>
                </patternFill>
              </fill>
            </x14:dxf>
          </x14:cfRule>
          <xm:sqref>G1:H1</xm:sqref>
        </x14:conditionalFormatting>
        <x14:conditionalFormatting xmlns:xm="http://schemas.microsoft.com/office/excel/2006/main">
          <x14:cfRule type="containsText" priority="496" operator="containsText" id="{19FF82E0-3EC4-4082-A024-1F55B61F86FE}">
            <xm:f>NOT(ISERROR(SEARCH("open",G7)))</xm:f>
            <xm:f>"open"</xm:f>
            <x14:dxf>
              <font>
                <b/>
                <i val="0"/>
              </font>
              <fill>
                <patternFill>
                  <bgColor rgb="FF00B050"/>
                </patternFill>
              </fill>
            </x14:dxf>
          </x14:cfRule>
          <xm:sqref>G7:H7</xm:sqref>
        </x14:conditionalFormatting>
        <x14:conditionalFormatting xmlns:xm="http://schemas.microsoft.com/office/excel/2006/main">
          <x14:cfRule type="containsText" priority="170" operator="containsText" id="{9E1D0B02-0426-49BB-B872-6382277812D2}">
            <xm:f>NOT(ISERROR(SEARCH("open",H31)))</xm:f>
            <xm:f>"open"</xm:f>
            <x14:dxf>
              <font>
                <b/>
                <i val="0"/>
              </font>
              <fill>
                <patternFill>
                  <bgColor rgb="FF00B050"/>
                </patternFill>
              </fill>
            </x14:dxf>
          </x14:cfRule>
          <xm:sqref>H31</xm:sqref>
        </x14:conditionalFormatting>
        <x14:conditionalFormatting xmlns:xm="http://schemas.microsoft.com/office/excel/2006/main">
          <x14:cfRule type="containsText" priority="165" operator="containsText" id="{291E8C7B-8836-44A9-A690-5605236925BE}">
            <xm:f>NOT(ISERROR(SEARCH("open",H37)))</xm:f>
            <xm:f>"open"</xm:f>
            <x14:dxf>
              <font>
                <b/>
                <i val="0"/>
              </font>
              <fill>
                <patternFill>
                  <bgColor rgb="FF00B050"/>
                </patternFill>
              </fill>
            </x14:dxf>
          </x14:cfRule>
          <xm:sqref>H37</xm:sqref>
        </x14:conditionalFormatting>
        <x14:conditionalFormatting xmlns:xm="http://schemas.microsoft.com/office/excel/2006/main">
          <x14:cfRule type="containsText" priority="99" operator="containsText" id="{1DA51D1B-4039-4759-905D-5DD117F632D2}">
            <xm:f>NOT(ISERROR(SEARCH("open",G126)))</xm:f>
            <xm:f>"open"</xm:f>
            <x14:dxf>
              <font>
                <b/>
                <i val="0"/>
              </font>
              <fill>
                <patternFill>
                  <bgColor rgb="FF00B050"/>
                </patternFill>
              </fill>
            </x14:dxf>
          </x14:cfRule>
          <xm:sqref>G126:H126</xm:sqref>
        </x14:conditionalFormatting>
        <x14:conditionalFormatting xmlns:xm="http://schemas.microsoft.com/office/excel/2006/main">
          <x14:cfRule type="containsText" priority="104" operator="containsText" id="{CAE05EED-56CA-43B5-A185-B6909DF97655}">
            <xm:f>NOT(ISERROR(SEARCH("open",G120)))</xm:f>
            <xm:f>"open"</xm:f>
            <x14:dxf>
              <font>
                <b/>
                <i val="0"/>
              </font>
              <fill>
                <patternFill>
                  <bgColor rgb="FF00B050"/>
                </patternFill>
              </fill>
            </x14:dxf>
          </x14:cfRule>
          <xm:sqref>G120:H120</xm:sqref>
        </x14:conditionalFormatting>
        <x14:conditionalFormatting xmlns:xm="http://schemas.microsoft.com/office/excel/2006/main">
          <x14:cfRule type="containsText" priority="82" operator="containsText" id="{5BFC5992-53D3-406C-96CC-DF17EFEF2B34}">
            <xm:f>NOT(ISERROR(SEARCH("open",G149)))</xm:f>
            <xm:f>"open"</xm:f>
            <x14:dxf>
              <font>
                <b/>
                <i val="0"/>
              </font>
              <fill>
                <patternFill>
                  <bgColor rgb="FF00B050"/>
                </patternFill>
              </fill>
            </x14:dxf>
          </x14:cfRule>
          <xm:sqref>G149:H149</xm:sqref>
        </x14:conditionalFormatting>
        <x14:conditionalFormatting xmlns:xm="http://schemas.microsoft.com/office/excel/2006/main">
          <x14:cfRule type="containsText" priority="148" operator="containsText" id="{CAEB070B-50A9-4BBB-9498-3B1EAC3BED30}">
            <xm:f>NOT(ISERROR(SEARCH("open",G61)))</xm:f>
            <xm:f>"open"</xm:f>
            <x14:dxf>
              <font>
                <b/>
                <i val="0"/>
              </font>
              <fill>
                <patternFill>
                  <bgColor rgb="FF00B050"/>
                </patternFill>
              </fill>
            </x14:dxf>
          </x14:cfRule>
          <xm:sqref>G61:H61</xm:sqref>
        </x14:conditionalFormatting>
        <x14:conditionalFormatting xmlns:xm="http://schemas.microsoft.com/office/excel/2006/main">
          <x14:cfRule type="containsText" priority="143" operator="containsText" id="{238F528D-CB5B-44DE-B674-2D8DC92E0B94}">
            <xm:f>NOT(ISERROR(SEARCH("open",G67)))</xm:f>
            <xm:f>"open"</xm:f>
            <x14:dxf>
              <font>
                <b/>
                <i val="0"/>
              </font>
              <fill>
                <patternFill>
                  <bgColor rgb="FF00B050"/>
                </patternFill>
              </fill>
            </x14:dxf>
          </x14:cfRule>
          <xm:sqref>G67:H67</xm:sqref>
        </x14:conditionalFormatting>
        <x14:conditionalFormatting xmlns:xm="http://schemas.microsoft.com/office/excel/2006/main">
          <x14:cfRule type="containsText" priority="126" operator="containsText" id="{BC6AB476-6A19-41A9-ABBC-5DDD233BDE0F}">
            <xm:f>NOT(ISERROR(SEARCH("open",G91)))</xm:f>
            <xm:f>"open"</xm:f>
            <x14:dxf>
              <font>
                <b/>
                <i val="0"/>
              </font>
              <fill>
                <patternFill>
                  <bgColor rgb="FF00B050"/>
                </patternFill>
              </fill>
            </x14:dxf>
          </x14:cfRule>
          <xm:sqref>G91:H91</xm:sqref>
        </x14:conditionalFormatting>
        <x14:conditionalFormatting xmlns:xm="http://schemas.microsoft.com/office/excel/2006/main">
          <x14:cfRule type="containsText" priority="121" operator="containsText" id="{B6F375EA-229D-4553-AC5B-CE075F1A5432}">
            <xm:f>NOT(ISERROR(SEARCH("open",G97)))</xm:f>
            <xm:f>"open"</xm:f>
            <x14:dxf>
              <font>
                <b/>
                <i val="0"/>
              </font>
              <fill>
                <patternFill>
                  <bgColor rgb="FF00B050"/>
                </patternFill>
              </fill>
            </x14:dxf>
          </x14:cfRule>
          <xm:sqref>G97:H97</xm:sqref>
        </x14:conditionalFormatting>
        <x14:conditionalFormatting xmlns:xm="http://schemas.microsoft.com/office/excel/2006/main">
          <x14:cfRule type="containsText" priority="60" operator="containsText" id="{9E57C514-7131-461A-94CD-4824EBC02EDA}">
            <xm:f>NOT(ISERROR(SEARCH("open",G178)))</xm:f>
            <xm:f>"open"</xm:f>
            <x14:dxf>
              <font>
                <b/>
                <i val="0"/>
              </font>
              <fill>
                <patternFill>
                  <bgColor rgb="FF00B050"/>
                </patternFill>
              </fill>
            </x14:dxf>
          </x14:cfRule>
          <xm:sqref>G178:H178</xm:sqref>
        </x14:conditionalFormatting>
        <x14:conditionalFormatting xmlns:xm="http://schemas.microsoft.com/office/excel/2006/main">
          <x14:cfRule type="containsText" priority="77" operator="containsText" id="{98FDF09A-5E18-4A40-B409-B9AEB8BE38CD}">
            <xm:f>NOT(ISERROR(SEARCH("open",G155)))</xm:f>
            <xm:f>"open"</xm:f>
            <x14:dxf>
              <font>
                <b/>
                <i val="0"/>
              </font>
              <fill>
                <patternFill>
                  <bgColor rgb="FF00B050"/>
                </patternFill>
              </fill>
            </x14:dxf>
          </x14:cfRule>
          <xm:sqref>G155:H155</xm:sqref>
        </x14:conditionalFormatting>
        <x14:conditionalFormatting xmlns:xm="http://schemas.microsoft.com/office/excel/2006/main">
          <x14:cfRule type="containsText" priority="55" operator="containsText" id="{A9D5F260-A75E-474C-90A9-6BCEC35730B3}">
            <xm:f>NOT(ISERROR(SEARCH("open",G184)))</xm:f>
            <xm:f>"open"</xm:f>
            <x14:dxf>
              <font>
                <b/>
                <i val="0"/>
              </font>
              <fill>
                <patternFill>
                  <bgColor rgb="FF00B050"/>
                </patternFill>
              </fill>
            </x14:dxf>
          </x14:cfRule>
          <xm:sqref>G184:H184</xm:sqref>
        </x14:conditionalFormatting>
        <x14:conditionalFormatting xmlns:xm="http://schemas.microsoft.com/office/excel/2006/main">
          <x14:cfRule type="containsText" priority="18" operator="containsText" id="{8AA01B69-1780-42C6-B135-3D2B68908940}">
            <xm:f>NOT(ISERROR(SEARCH("open",G13)))</xm:f>
            <xm:f>"open"</xm:f>
            <x14:dxf>
              <font>
                <b/>
                <i val="0"/>
              </font>
              <fill>
                <patternFill>
                  <bgColor rgb="FF00B050"/>
                </patternFill>
              </fill>
            </x14:dxf>
          </x14:cfRule>
          <xm:sqref>G13</xm:sqref>
        </x14:conditionalFormatting>
        <x14:conditionalFormatting xmlns:xm="http://schemas.microsoft.com/office/excel/2006/main">
          <x14:cfRule type="containsText" priority="15" operator="containsText" id="{D1E576C1-17FA-4D9E-8A63-73C769240F08}">
            <xm:f>NOT(ISERROR(SEARCH("open",G19)))</xm:f>
            <xm:f>"open"</xm:f>
            <x14:dxf>
              <font>
                <b/>
                <i val="0"/>
              </font>
              <fill>
                <patternFill>
                  <bgColor rgb="FF00B050"/>
                </patternFill>
              </fill>
            </x14:dxf>
          </x14:cfRule>
          <xm:sqref>G19</xm:sqref>
        </x14:conditionalFormatting>
        <x14:conditionalFormatting xmlns:xm="http://schemas.microsoft.com/office/excel/2006/main">
          <x14:cfRule type="containsText" priority="12" operator="containsText" id="{F66EAC43-C74D-408C-BE70-622C15E2245C}">
            <xm:f>NOT(ISERROR(SEARCH("open",G25)))</xm:f>
            <xm:f>"open"</xm:f>
            <x14:dxf>
              <font>
                <b/>
                <i val="0"/>
              </font>
              <fill>
                <patternFill>
                  <bgColor rgb="FF00B050"/>
                </patternFill>
              </fill>
            </x14:dxf>
          </x14:cfRule>
          <xm:sqref>G25</xm:sqref>
        </x14:conditionalFormatting>
        <x14:conditionalFormatting xmlns:xm="http://schemas.microsoft.com/office/excel/2006/main">
          <x14:cfRule type="containsText" priority="9" operator="containsText" id="{5CEC6E9D-9091-48A3-9240-E75F6F5B5479}">
            <xm:f>NOT(ISERROR(SEARCH("open",G31)))</xm:f>
            <xm:f>"open"</xm:f>
            <x14:dxf>
              <font>
                <b/>
                <i val="0"/>
              </font>
              <fill>
                <patternFill>
                  <bgColor rgb="FF00B050"/>
                </patternFill>
              </fill>
            </x14:dxf>
          </x14:cfRule>
          <xm:sqref>G31</xm:sqref>
        </x14:conditionalFormatting>
        <x14:conditionalFormatting xmlns:xm="http://schemas.microsoft.com/office/excel/2006/main">
          <x14:cfRule type="containsText" priority="6" operator="containsText" id="{9109888F-369C-4CE4-9B3D-240E2738C08D}">
            <xm:f>NOT(ISERROR(SEARCH("open",G37)))</xm:f>
            <xm:f>"open"</xm:f>
            <x14:dxf>
              <font>
                <b/>
                <i val="0"/>
              </font>
              <fill>
                <patternFill>
                  <bgColor rgb="FF00B050"/>
                </patternFill>
              </fill>
            </x14:dxf>
          </x14:cfRule>
          <xm:sqref>G37</xm:sqref>
        </x14:conditionalFormatting>
        <x14:conditionalFormatting xmlns:xm="http://schemas.microsoft.com/office/excel/2006/main">
          <x14:cfRule type="containsText" priority="3" operator="containsText" id="{C5BC27AB-0CB8-4C69-8DC1-90EFBB0B4824}">
            <xm:f>NOT(ISERROR(SEARCH("open",G43)))</xm:f>
            <xm:f>"open"</xm:f>
            <x14:dxf>
              <font>
                <b/>
                <i val="0"/>
              </font>
              <fill>
                <patternFill>
                  <bgColor rgb="FF00B050"/>
                </patternFill>
              </fill>
            </x14:dxf>
          </x14:cfRule>
          <xm:sqref>G43</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0000"/>
    <pageSetUpPr fitToPage="1"/>
  </sheetPr>
  <dimension ref="A1:AO90"/>
  <sheetViews>
    <sheetView showZeros="0" workbookViewId="0">
      <selection activeCell="U6" sqref="U6"/>
    </sheetView>
  </sheetViews>
  <sheetFormatPr defaultRowHeight="15" x14ac:dyDescent="0.25"/>
  <cols>
    <col min="2" max="2" width="27.28515625" customWidth="1"/>
    <col min="3" max="3" width="9.28515625" style="164" customWidth="1"/>
    <col min="4" max="4" width="6.42578125" customWidth="1"/>
    <col min="5" max="5" width="6.5703125" customWidth="1"/>
    <col min="9" max="9" width="8.28515625" customWidth="1"/>
    <col min="11" max="11" width="8.42578125" customWidth="1"/>
    <col min="12" max="12" width="8.85546875" customWidth="1"/>
    <col min="13" max="13" width="9.140625" customWidth="1"/>
    <col min="14" max="14" width="3.42578125" customWidth="1"/>
    <col min="15" max="15" width="6.140625" customWidth="1"/>
    <col min="16" max="16" width="3.140625" customWidth="1"/>
    <col min="17" max="17" width="6.140625" customWidth="1"/>
    <col min="19" max="19" width="10.140625" customWidth="1"/>
  </cols>
  <sheetData>
    <row r="1" spans="1:41" ht="58.5" customHeight="1" x14ac:dyDescent="0.25">
      <c r="A1" s="335"/>
      <c r="B1" s="335"/>
      <c r="C1" s="335"/>
      <c r="D1" s="335"/>
      <c r="E1" s="335"/>
      <c r="F1" s="335"/>
      <c r="G1" s="335"/>
      <c r="H1" s="335"/>
      <c r="I1" s="335"/>
      <c r="J1" s="335"/>
      <c r="K1" s="335"/>
      <c r="L1" s="335"/>
      <c r="M1" s="335"/>
      <c r="N1" s="335"/>
      <c r="O1" s="335"/>
      <c r="P1" s="335"/>
      <c r="Q1" s="335"/>
      <c r="R1" s="335"/>
      <c r="S1" s="335"/>
    </row>
    <row r="2" spans="1:41" ht="14.25" customHeight="1" x14ac:dyDescent="0.25">
      <c r="I2" s="7"/>
      <c r="J2" s="7"/>
      <c r="N2" s="7"/>
      <c r="O2" s="7"/>
    </row>
    <row r="3" spans="1:41" ht="22.5" customHeight="1" x14ac:dyDescent="0.25">
      <c r="A3" s="358" t="s">
        <v>49</v>
      </c>
      <c r="B3" s="352"/>
      <c r="C3" s="352">
        <f>'Blind List Entry'!C1</f>
        <v>0</v>
      </c>
      <c r="D3" s="352"/>
      <c r="E3" s="352"/>
      <c r="F3" s="352"/>
      <c r="G3" s="352"/>
      <c r="H3" s="352"/>
      <c r="I3" s="352"/>
      <c r="J3" s="43"/>
      <c r="K3" s="42"/>
      <c r="L3" s="44" t="s">
        <v>70</v>
      </c>
      <c r="M3" s="177" t="s">
        <v>48</v>
      </c>
      <c r="N3" s="162"/>
      <c r="O3" s="162"/>
      <c r="P3" s="162"/>
      <c r="Q3" s="350">
        <f>'Blind List Entry'!C3</f>
        <v>0</v>
      </c>
      <c r="R3" s="350"/>
      <c r="S3" s="351"/>
    </row>
    <row r="4" spans="1:41" ht="69.75" customHeight="1" x14ac:dyDescent="0.25">
      <c r="A4" s="47" t="s">
        <v>45</v>
      </c>
      <c r="B4" s="172" t="s">
        <v>53</v>
      </c>
      <c r="C4" s="173" t="s">
        <v>87</v>
      </c>
      <c r="D4" s="337" t="s">
        <v>47</v>
      </c>
      <c r="E4" s="337"/>
      <c r="F4" s="344" t="s">
        <v>52</v>
      </c>
      <c r="G4" s="344"/>
      <c r="H4" s="344"/>
      <c r="I4" s="345"/>
      <c r="J4" s="336" t="s">
        <v>51</v>
      </c>
      <c r="K4" s="337"/>
      <c r="L4" s="337"/>
      <c r="M4" s="337"/>
      <c r="N4" s="336" t="s">
        <v>50</v>
      </c>
      <c r="O4" s="336"/>
      <c r="P4" s="337"/>
      <c r="Q4" s="337"/>
      <c r="R4" s="337"/>
      <c r="S4" s="337"/>
    </row>
    <row r="5" spans="1:41" ht="41.25" customHeight="1" x14ac:dyDescent="0.25">
      <c r="A5" s="359"/>
      <c r="B5" s="340"/>
      <c r="C5" s="340"/>
      <c r="D5" s="340"/>
      <c r="E5" s="48"/>
      <c r="F5" s="52" t="s">
        <v>46</v>
      </c>
      <c r="G5" s="47" t="s">
        <v>43</v>
      </c>
      <c r="H5" s="47" t="s">
        <v>44</v>
      </c>
      <c r="I5" s="47" t="s">
        <v>43</v>
      </c>
      <c r="J5" s="52" t="s">
        <v>46</v>
      </c>
      <c r="K5" s="47" t="s">
        <v>43</v>
      </c>
      <c r="L5" s="47" t="s">
        <v>44</v>
      </c>
      <c r="M5" s="47" t="s">
        <v>43</v>
      </c>
      <c r="N5" s="356" t="s">
        <v>46</v>
      </c>
      <c r="O5" s="357"/>
      <c r="P5" s="356" t="s">
        <v>43</v>
      </c>
      <c r="Q5" s="357"/>
      <c r="R5" s="47" t="s">
        <v>44</v>
      </c>
      <c r="S5" s="47" t="s">
        <v>43</v>
      </c>
    </row>
    <row r="6" spans="1:41" ht="20.100000000000001" customHeight="1" x14ac:dyDescent="0.25">
      <c r="A6" s="167" t="str">
        <f>'Blind List Entry'!A5</f>
        <v xml:space="preserve"> </v>
      </c>
      <c r="B6" s="169">
        <f>'Blind List Entry'!B5</f>
        <v>0</v>
      </c>
      <c r="C6" s="33">
        <f>'Blind List Entry'!C5</f>
        <v>0</v>
      </c>
      <c r="D6" s="49">
        <f>'Blind List Entry'!D5</f>
        <v>0</v>
      </c>
      <c r="E6" s="34">
        <f>'Blind List Entry'!E5</f>
        <v>0</v>
      </c>
      <c r="F6" s="34"/>
      <c r="G6" s="33"/>
      <c r="H6" s="33"/>
      <c r="I6" s="33"/>
      <c r="J6" s="33"/>
      <c r="K6" s="33"/>
      <c r="L6" s="33"/>
      <c r="M6" s="33"/>
      <c r="N6" s="342"/>
      <c r="O6" s="343"/>
      <c r="P6" s="342"/>
      <c r="Q6" s="343"/>
      <c r="R6" s="33"/>
      <c r="S6" s="33"/>
    </row>
    <row r="7" spans="1:41" ht="20.100000000000001" customHeight="1" x14ac:dyDescent="0.25">
      <c r="A7" s="167" t="str">
        <f>'Blind List Entry'!A6</f>
        <v xml:space="preserve"> </v>
      </c>
      <c r="B7" s="169">
        <f>'Blind List Entry'!B6</f>
        <v>0</v>
      </c>
      <c r="C7" s="33">
        <f>'Blind List Entry'!C6</f>
        <v>0</v>
      </c>
      <c r="D7" s="49">
        <f>'Blind List Entry'!D6</f>
        <v>0</v>
      </c>
      <c r="E7" s="34">
        <f>'Blind List Entry'!E6</f>
        <v>0</v>
      </c>
      <c r="F7" s="34"/>
      <c r="G7" s="33"/>
      <c r="H7" s="33"/>
      <c r="I7" s="33"/>
      <c r="J7" s="33"/>
      <c r="K7" s="33"/>
      <c r="L7" s="33"/>
      <c r="M7" s="33"/>
      <c r="N7" s="342"/>
      <c r="O7" s="343"/>
      <c r="P7" s="342"/>
      <c r="Q7" s="343"/>
      <c r="R7" s="33"/>
      <c r="S7" s="33"/>
    </row>
    <row r="8" spans="1:41" ht="20.100000000000001" customHeight="1" x14ac:dyDescent="0.25">
      <c r="A8" s="167" t="str">
        <f>'Blind List Entry'!A7</f>
        <v xml:space="preserve"> </v>
      </c>
      <c r="B8" s="169">
        <f>'Blind List Entry'!B7</f>
        <v>0</v>
      </c>
      <c r="C8" s="33">
        <f>'Blind List Entry'!C7</f>
        <v>0</v>
      </c>
      <c r="D8" s="49">
        <f>'Blind List Entry'!D7</f>
        <v>0</v>
      </c>
      <c r="E8" s="34">
        <f>'Blind List Entry'!E7</f>
        <v>0</v>
      </c>
      <c r="F8" s="34"/>
      <c r="G8" s="33"/>
      <c r="H8" s="33"/>
      <c r="I8" s="33"/>
      <c r="J8" s="33"/>
      <c r="K8" s="33"/>
      <c r="L8" s="33"/>
      <c r="M8" s="33"/>
      <c r="N8" s="342"/>
      <c r="O8" s="343"/>
      <c r="P8" s="342"/>
      <c r="Q8" s="343"/>
      <c r="R8" s="33"/>
      <c r="S8" s="33"/>
    </row>
    <row r="9" spans="1:41" ht="20.100000000000001" customHeight="1" x14ac:dyDescent="0.25">
      <c r="A9" s="167" t="str">
        <f>'Blind List Entry'!A8</f>
        <v xml:space="preserve"> </v>
      </c>
      <c r="B9" s="169">
        <f>'Blind List Entry'!B8</f>
        <v>0</v>
      </c>
      <c r="C9" s="33">
        <f>'Blind List Entry'!C8</f>
        <v>0</v>
      </c>
      <c r="D9" s="49">
        <f>'Blind List Entry'!D8</f>
        <v>0</v>
      </c>
      <c r="E9" s="34">
        <f>'Blind List Entry'!E8</f>
        <v>0</v>
      </c>
      <c r="F9" s="34"/>
      <c r="G9" s="33"/>
      <c r="H9" s="33"/>
      <c r="I9" s="33"/>
      <c r="J9" s="33"/>
      <c r="K9" s="33"/>
      <c r="L9" s="33"/>
      <c r="M9" s="33"/>
      <c r="N9" s="342"/>
      <c r="O9" s="343"/>
      <c r="P9" s="342"/>
      <c r="Q9" s="343"/>
      <c r="R9" s="33"/>
      <c r="S9" s="33"/>
    </row>
    <row r="10" spans="1:41" ht="20.100000000000001" customHeight="1" x14ac:dyDescent="0.25">
      <c r="A10" s="167" t="str">
        <f>'Blind List Entry'!A9</f>
        <v xml:space="preserve"> </v>
      </c>
      <c r="B10" s="169">
        <f>'Blind List Entry'!B9</f>
        <v>0</v>
      </c>
      <c r="C10" s="33">
        <f>'Blind List Entry'!C9</f>
        <v>0</v>
      </c>
      <c r="D10" s="49">
        <f>'Blind List Entry'!D9</f>
        <v>0</v>
      </c>
      <c r="E10" s="34">
        <f>'Blind List Entry'!E9</f>
        <v>0</v>
      </c>
      <c r="F10" s="34"/>
      <c r="G10" s="33"/>
      <c r="H10" s="33"/>
      <c r="I10" s="33"/>
      <c r="J10" s="33"/>
      <c r="K10" s="33"/>
      <c r="L10" s="33"/>
      <c r="M10" s="33"/>
      <c r="N10" s="342"/>
      <c r="O10" s="343"/>
      <c r="P10" s="342"/>
      <c r="Q10" s="343"/>
      <c r="R10" s="33"/>
      <c r="S10" s="33"/>
    </row>
    <row r="11" spans="1:41" ht="20.100000000000001" customHeight="1" x14ac:dyDescent="0.25">
      <c r="A11" s="167" t="str">
        <f>'Blind List Entry'!A10</f>
        <v xml:space="preserve"> </v>
      </c>
      <c r="B11" s="169">
        <f>'Blind List Entry'!B10</f>
        <v>0</v>
      </c>
      <c r="C11" s="33">
        <f>'Blind List Entry'!C10</f>
        <v>0</v>
      </c>
      <c r="D11" s="49">
        <f>'Blind List Entry'!D10</f>
        <v>0</v>
      </c>
      <c r="E11" s="34">
        <f>'Blind List Entry'!E10</f>
        <v>0</v>
      </c>
      <c r="F11" s="34"/>
      <c r="G11" s="33"/>
      <c r="H11" s="33"/>
      <c r="I11" s="33"/>
      <c r="J11" s="33"/>
      <c r="K11" s="33"/>
      <c r="L11" s="33"/>
      <c r="M11" s="33"/>
      <c r="N11" s="342"/>
      <c r="O11" s="343"/>
      <c r="P11" s="342"/>
      <c r="Q11" s="343"/>
      <c r="R11" s="33"/>
      <c r="S11" s="33"/>
    </row>
    <row r="12" spans="1:41" ht="20.100000000000001" customHeight="1" x14ac:dyDescent="0.25">
      <c r="A12" s="167" t="str">
        <f>'Blind List Entry'!A11</f>
        <v xml:space="preserve"> </v>
      </c>
      <c r="B12" s="169">
        <f>'Blind List Entry'!B11</f>
        <v>0</v>
      </c>
      <c r="C12" s="33">
        <f>'Blind List Entry'!C11</f>
        <v>0</v>
      </c>
      <c r="D12" s="49">
        <f>'Blind List Entry'!D11</f>
        <v>0</v>
      </c>
      <c r="E12" s="34">
        <f>'Blind List Entry'!E11</f>
        <v>0</v>
      </c>
      <c r="F12" s="34"/>
      <c r="G12" s="33"/>
      <c r="H12" s="33"/>
      <c r="I12" s="33"/>
      <c r="J12" s="33"/>
      <c r="K12" s="33"/>
      <c r="L12" s="33"/>
      <c r="M12" s="33"/>
      <c r="N12" s="342"/>
      <c r="O12" s="343"/>
      <c r="P12" s="342"/>
      <c r="Q12" s="343"/>
      <c r="R12" s="33"/>
      <c r="S12" s="33"/>
    </row>
    <row r="13" spans="1:41" ht="20.100000000000001" customHeight="1" x14ac:dyDescent="0.25">
      <c r="A13" s="167" t="str">
        <f>'Blind List Entry'!A12</f>
        <v xml:space="preserve"> </v>
      </c>
      <c r="B13" s="169">
        <f>'Blind List Entry'!B12</f>
        <v>0</v>
      </c>
      <c r="C13" s="33">
        <f>'Blind List Entry'!C12</f>
        <v>0</v>
      </c>
      <c r="D13" s="49">
        <f>'Blind List Entry'!D12</f>
        <v>0</v>
      </c>
      <c r="E13" s="34">
        <f>'Blind List Entry'!E12</f>
        <v>0</v>
      </c>
      <c r="F13" s="34"/>
      <c r="G13" s="33"/>
      <c r="H13" s="33"/>
      <c r="I13" s="33"/>
      <c r="J13" s="33"/>
      <c r="K13" s="33"/>
      <c r="L13" s="33"/>
      <c r="M13" s="33"/>
      <c r="N13" s="342"/>
      <c r="O13" s="343"/>
      <c r="P13" s="342"/>
      <c r="Q13" s="343"/>
      <c r="R13" s="33"/>
      <c r="S13" s="33"/>
    </row>
    <row r="14" spans="1:41" ht="20.100000000000001" customHeight="1" x14ac:dyDescent="0.25">
      <c r="A14" s="167" t="str">
        <f>'Blind List Entry'!A13</f>
        <v xml:space="preserve"> </v>
      </c>
      <c r="B14" s="169">
        <f>'Blind List Entry'!B13</f>
        <v>0</v>
      </c>
      <c r="C14" s="33">
        <f>'Blind List Entry'!C13</f>
        <v>0</v>
      </c>
      <c r="D14" s="49">
        <f>'Blind List Entry'!D13</f>
        <v>0</v>
      </c>
      <c r="E14" s="34">
        <f>'Blind List Entry'!E13</f>
        <v>0</v>
      </c>
      <c r="F14" s="34"/>
      <c r="G14" s="33"/>
      <c r="H14" s="33"/>
      <c r="I14" s="33"/>
      <c r="J14" s="33"/>
      <c r="K14" s="33"/>
      <c r="L14" s="33"/>
      <c r="M14" s="33"/>
      <c r="N14" s="342"/>
      <c r="O14" s="343"/>
      <c r="P14" s="342"/>
      <c r="Q14" s="343"/>
      <c r="R14" s="33"/>
      <c r="S14" s="33"/>
    </row>
    <row r="15" spans="1:41" ht="20.100000000000001" customHeight="1" x14ac:dyDescent="0.25">
      <c r="A15" s="167" t="str">
        <f>'Blind List Entry'!A14</f>
        <v xml:space="preserve"> </v>
      </c>
      <c r="B15" s="170">
        <f>'Blind List Entry'!B10</f>
        <v>0</v>
      </c>
      <c r="C15" s="33">
        <f>'Blind List Entry'!C14</f>
        <v>0</v>
      </c>
      <c r="D15" s="49">
        <f>'Blind List Entry'!D14</f>
        <v>0</v>
      </c>
      <c r="E15" s="34">
        <f>'Blind List Entry'!E14</f>
        <v>0</v>
      </c>
      <c r="F15" s="34"/>
      <c r="G15" s="33"/>
      <c r="H15" s="33"/>
      <c r="I15" s="33"/>
      <c r="J15" s="33"/>
      <c r="K15" s="33"/>
      <c r="L15" s="33"/>
      <c r="M15" s="33"/>
      <c r="N15" s="342"/>
      <c r="O15" s="343"/>
      <c r="P15" s="342"/>
      <c r="Q15" s="343"/>
      <c r="R15" s="33"/>
      <c r="S15" s="33"/>
      <c r="U15" s="7"/>
      <c r="V15" s="7"/>
      <c r="W15" s="7"/>
      <c r="X15" s="7"/>
      <c r="Y15" s="7"/>
      <c r="Z15" s="7"/>
      <c r="AA15" s="7"/>
      <c r="AB15" s="7"/>
      <c r="AC15" s="7"/>
      <c r="AD15" s="7"/>
      <c r="AE15" s="7"/>
      <c r="AF15" s="7"/>
      <c r="AG15" s="7"/>
      <c r="AH15" s="7"/>
      <c r="AI15" s="7"/>
      <c r="AJ15" s="7"/>
      <c r="AK15" s="7"/>
      <c r="AL15" s="7"/>
      <c r="AM15" s="7"/>
      <c r="AN15" s="7"/>
      <c r="AO15" s="7"/>
    </row>
    <row r="16" spans="1:41" ht="20.100000000000001" customHeight="1" x14ac:dyDescent="0.25">
      <c r="A16" s="167" t="str">
        <f>'Blind List Entry'!A15</f>
        <v xml:space="preserve"> </v>
      </c>
      <c r="B16" s="169">
        <f>'Blind List Entry'!B14</f>
        <v>0</v>
      </c>
      <c r="C16" s="33">
        <f>'Blind List Entry'!C15</f>
        <v>0</v>
      </c>
      <c r="D16" s="49">
        <f>'Blind List Entry'!D15</f>
        <v>0</v>
      </c>
      <c r="E16" s="34">
        <f>'Blind List Entry'!E15</f>
        <v>0</v>
      </c>
      <c r="F16" s="34"/>
      <c r="G16" s="33"/>
      <c r="H16" s="33"/>
      <c r="I16" s="33"/>
      <c r="J16" s="33"/>
      <c r="K16" s="33"/>
      <c r="L16" s="33"/>
      <c r="M16" s="33"/>
      <c r="N16" s="342"/>
      <c r="O16" s="343"/>
      <c r="P16" s="342"/>
      <c r="Q16" s="343"/>
      <c r="R16" s="33"/>
      <c r="S16" s="33"/>
      <c r="U16" s="7"/>
      <c r="V16" s="7"/>
      <c r="W16" s="7"/>
      <c r="X16" s="7"/>
      <c r="Y16" s="7"/>
      <c r="Z16" s="7"/>
      <c r="AA16" s="7"/>
      <c r="AB16" s="7"/>
      <c r="AC16" s="7"/>
      <c r="AD16" s="7"/>
      <c r="AE16" s="7"/>
      <c r="AF16" s="7"/>
      <c r="AG16" s="7"/>
      <c r="AH16" s="7"/>
      <c r="AI16" s="7"/>
      <c r="AJ16" s="7"/>
      <c r="AK16" s="7"/>
      <c r="AL16" s="7"/>
      <c r="AM16" s="7"/>
      <c r="AN16" s="7"/>
      <c r="AO16" s="7"/>
    </row>
    <row r="17" spans="1:41" ht="20.100000000000001" customHeight="1" x14ac:dyDescent="0.25">
      <c r="A17" s="167" t="str">
        <f>'Blind List Entry'!A16</f>
        <v xml:space="preserve"> </v>
      </c>
      <c r="B17" s="169">
        <f>'Blind List Entry'!B15</f>
        <v>0</v>
      </c>
      <c r="C17" s="33">
        <f>'Blind List Entry'!C16</f>
        <v>0</v>
      </c>
      <c r="D17" s="49">
        <f>'Blind List Entry'!D16</f>
        <v>0</v>
      </c>
      <c r="E17" s="34">
        <f>'Blind List Entry'!E16</f>
        <v>0</v>
      </c>
      <c r="F17" s="34"/>
      <c r="G17" s="33"/>
      <c r="H17" s="33"/>
      <c r="I17" s="33"/>
      <c r="J17" s="33"/>
      <c r="K17" s="33"/>
      <c r="L17" s="33"/>
      <c r="M17" s="33"/>
      <c r="N17" s="342"/>
      <c r="O17" s="343"/>
      <c r="P17" s="342"/>
      <c r="Q17" s="343"/>
      <c r="R17" s="33"/>
      <c r="S17" s="33"/>
      <c r="U17" s="348"/>
      <c r="V17" s="348"/>
      <c r="W17" s="348"/>
      <c r="X17" s="348"/>
      <c r="Y17" s="348"/>
      <c r="Z17" s="348"/>
      <c r="AA17" s="348"/>
      <c r="AB17" s="348"/>
      <c r="AC17" s="348"/>
      <c r="AD17" s="348"/>
      <c r="AE17" s="348"/>
      <c r="AF17" s="348"/>
      <c r="AG17" s="348"/>
      <c r="AH17" s="348"/>
      <c r="AI17" s="348"/>
      <c r="AJ17" s="7"/>
      <c r="AK17" s="7"/>
      <c r="AL17" s="7"/>
      <c r="AM17" s="7"/>
      <c r="AN17" s="7"/>
      <c r="AO17" s="7"/>
    </row>
    <row r="18" spans="1:41" ht="20.100000000000001" customHeight="1" x14ac:dyDescent="0.25">
      <c r="A18" s="167" t="str">
        <f>'Blind List Entry'!A17</f>
        <v xml:space="preserve"> </v>
      </c>
      <c r="B18" s="169">
        <f>'Blind List Entry'!B17</f>
        <v>0</v>
      </c>
      <c r="C18" s="33">
        <f>'Blind List Entry'!C17</f>
        <v>0</v>
      </c>
      <c r="D18" s="49">
        <f>'Blind List Entry'!D17</f>
        <v>0</v>
      </c>
      <c r="E18" s="34">
        <f>'Blind List Entry'!E17</f>
        <v>0</v>
      </c>
      <c r="F18" s="34"/>
      <c r="G18" s="33"/>
      <c r="H18" s="33"/>
      <c r="I18" s="33"/>
      <c r="J18" s="33"/>
      <c r="K18" s="33"/>
      <c r="L18" s="33"/>
      <c r="M18" s="33"/>
      <c r="N18" s="342"/>
      <c r="O18" s="343"/>
      <c r="P18" s="342"/>
      <c r="Q18" s="343"/>
      <c r="R18" s="33"/>
      <c r="S18" s="33"/>
      <c r="U18" s="349"/>
      <c r="V18" s="349"/>
      <c r="W18" s="349"/>
      <c r="X18" s="349"/>
      <c r="Y18" s="349"/>
      <c r="Z18" s="349"/>
      <c r="AA18" s="349"/>
      <c r="AB18" s="349"/>
      <c r="AC18" s="349"/>
      <c r="AD18" s="349"/>
      <c r="AE18" s="349"/>
      <c r="AF18" s="349"/>
      <c r="AG18" s="349"/>
      <c r="AH18" s="349"/>
      <c r="AI18" s="349"/>
      <c r="AJ18" s="7"/>
      <c r="AK18" s="7"/>
      <c r="AL18" s="7"/>
      <c r="AM18" s="7"/>
      <c r="AN18" s="7"/>
      <c r="AO18" s="7"/>
    </row>
    <row r="19" spans="1:41" ht="20.100000000000001" customHeight="1" x14ac:dyDescent="0.25">
      <c r="A19" s="167" t="str">
        <f>'Blind List Entry'!A18</f>
        <v xml:space="preserve"> </v>
      </c>
      <c r="B19" s="169">
        <f>'Blind List Entry'!B18</f>
        <v>0</v>
      </c>
      <c r="C19" s="33">
        <f>'Blind List Entry'!C18</f>
        <v>0</v>
      </c>
      <c r="D19" s="49">
        <f>'Blind List Entry'!D18</f>
        <v>0</v>
      </c>
      <c r="E19" s="34">
        <f>'Blind List Entry'!E18</f>
        <v>0</v>
      </c>
      <c r="F19" s="34"/>
      <c r="G19" s="33"/>
      <c r="H19" s="33"/>
      <c r="I19" s="33"/>
      <c r="J19" s="33"/>
      <c r="K19" s="33"/>
      <c r="L19" s="33"/>
      <c r="M19" s="33"/>
      <c r="N19" s="342"/>
      <c r="O19" s="343"/>
      <c r="P19" s="342"/>
      <c r="Q19" s="343"/>
      <c r="R19" s="33"/>
      <c r="S19" s="33"/>
      <c r="U19" s="39"/>
      <c r="V19" s="35"/>
      <c r="W19" s="35"/>
      <c r="X19" s="35"/>
      <c r="Y19" s="35"/>
      <c r="Z19" s="35"/>
      <c r="AA19" s="35"/>
      <c r="AB19" s="35"/>
      <c r="AC19" s="35"/>
      <c r="AD19" s="35"/>
      <c r="AE19" s="35"/>
      <c r="AF19" s="35"/>
      <c r="AG19" s="35"/>
      <c r="AH19" s="35"/>
      <c r="AI19" s="35"/>
      <c r="AJ19" s="7"/>
      <c r="AK19" s="7"/>
      <c r="AL19" s="7"/>
      <c r="AM19" s="7"/>
      <c r="AN19" s="7"/>
      <c r="AO19" s="7"/>
    </row>
    <row r="20" spans="1:41" ht="20.100000000000001" customHeight="1" x14ac:dyDescent="0.25">
      <c r="A20" s="167" t="str">
        <f>'Blind List Entry'!A19</f>
        <v xml:space="preserve"> </v>
      </c>
      <c r="B20" s="169">
        <f>'Blind List Entry'!B19</f>
        <v>0</v>
      </c>
      <c r="C20" s="33">
        <f>'Blind List Entry'!C19</f>
        <v>0</v>
      </c>
      <c r="D20" s="49">
        <f>'Blind List Entry'!D19</f>
        <v>0</v>
      </c>
      <c r="E20" s="34">
        <f>'Blind List Entry'!E19</f>
        <v>0</v>
      </c>
      <c r="F20" s="34"/>
      <c r="G20" s="33"/>
      <c r="H20" s="33"/>
      <c r="I20" s="33"/>
      <c r="J20" s="33"/>
      <c r="K20" s="33"/>
      <c r="L20" s="33"/>
      <c r="M20" s="33"/>
      <c r="N20" s="342"/>
      <c r="O20" s="343"/>
      <c r="P20" s="342"/>
      <c r="Q20" s="343"/>
      <c r="R20" s="33"/>
      <c r="S20" s="33"/>
      <c r="U20" s="7"/>
      <c r="V20" s="7"/>
      <c r="W20" s="7"/>
      <c r="X20" s="7"/>
      <c r="Y20" s="7"/>
      <c r="Z20" s="7"/>
      <c r="AA20" s="7"/>
      <c r="AB20" s="7"/>
      <c r="AC20" s="7"/>
      <c r="AD20" s="7"/>
      <c r="AE20" s="7"/>
      <c r="AF20" s="7"/>
      <c r="AG20" s="7"/>
      <c r="AH20" s="7"/>
      <c r="AI20" s="7"/>
      <c r="AJ20" s="7"/>
      <c r="AK20" s="7"/>
      <c r="AL20" s="7"/>
      <c r="AM20" s="7"/>
      <c r="AN20" s="7"/>
      <c r="AO20" s="7"/>
    </row>
    <row r="21" spans="1:41" ht="18" customHeight="1" x14ac:dyDescent="0.25">
      <c r="A21" s="36"/>
      <c r="B21" s="40" t="s">
        <v>54</v>
      </c>
      <c r="C21" s="174"/>
      <c r="D21" s="36"/>
      <c r="E21" s="36"/>
      <c r="F21" s="36"/>
      <c r="G21" s="36"/>
      <c r="H21" s="36"/>
      <c r="I21" s="36"/>
      <c r="J21" s="36"/>
      <c r="K21" s="36"/>
      <c r="L21" s="36"/>
      <c r="M21" s="36"/>
      <c r="N21" s="36"/>
      <c r="O21" s="36"/>
      <c r="P21" s="36"/>
      <c r="Q21" s="36"/>
      <c r="R21" s="36"/>
      <c r="S21" s="36"/>
      <c r="T21" s="36"/>
      <c r="U21" s="7"/>
      <c r="V21" s="7"/>
      <c r="W21" s="7"/>
      <c r="X21" s="7"/>
      <c r="Y21" s="7"/>
      <c r="Z21" s="7"/>
      <c r="AA21" s="7"/>
      <c r="AB21" s="7"/>
      <c r="AC21" s="7"/>
      <c r="AD21" s="7"/>
      <c r="AE21" s="7"/>
      <c r="AF21" s="7"/>
      <c r="AG21" s="7"/>
      <c r="AH21" s="7"/>
      <c r="AI21" s="7"/>
      <c r="AJ21" s="7"/>
      <c r="AK21" s="7"/>
      <c r="AL21" s="7"/>
      <c r="AM21" s="7"/>
      <c r="AN21" s="7"/>
      <c r="AO21" s="7"/>
    </row>
    <row r="22" spans="1:41" ht="17.25" customHeight="1" x14ac:dyDescent="0.25">
      <c r="A22" s="36"/>
      <c r="B22" s="38" t="s">
        <v>55</v>
      </c>
      <c r="C22" s="175"/>
      <c r="D22" s="38"/>
      <c r="E22" s="38"/>
      <c r="F22" s="38"/>
      <c r="G22" s="38"/>
      <c r="H22" s="38"/>
      <c r="I22" s="38"/>
      <c r="J22" s="38"/>
      <c r="K22" s="38"/>
      <c r="L22" s="38"/>
      <c r="M22" s="38"/>
      <c r="N22" s="38"/>
      <c r="O22" s="38"/>
      <c r="P22" s="38"/>
      <c r="Q22" s="38"/>
      <c r="R22" s="38"/>
      <c r="S22" s="38"/>
      <c r="T22" s="38"/>
      <c r="U22" s="7"/>
      <c r="V22" s="7"/>
      <c r="W22" s="7"/>
      <c r="X22" s="7"/>
      <c r="Y22" s="7"/>
      <c r="Z22" s="7"/>
      <c r="AA22" s="7"/>
      <c r="AB22" s="7"/>
      <c r="AC22" s="7"/>
      <c r="AD22" s="7"/>
      <c r="AE22" s="7"/>
      <c r="AF22" s="7"/>
      <c r="AG22" s="7"/>
      <c r="AH22" s="7"/>
      <c r="AI22" s="7"/>
      <c r="AJ22" s="7"/>
      <c r="AK22" s="7"/>
      <c r="AL22" s="7"/>
      <c r="AM22" s="7"/>
      <c r="AN22" s="7"/>
      <c r="AO22" s="7"/>
    </row>
    <row r="23" spans="1:41" ht="15.75" customHeight="1" x14ac:dyDescent="0.25">
      <c r="A23" s="36"/>
      <c r="B23" s="37" t="s">
        <v>56</v>
      </c>
      <c r="C23" s="175"/>
      <c r="D23" s="36"/>
      <c r="E23" s="36"/>
      <c r="F23" s="36"/>
      <c r="G23" s="36"/>
      <c r="H23" s="36"/>
      <c r="I23" s="36"/>
      <c r="J23" s="36"/>
      <c r="K23" s="36"/>
      <c r="L23" s="36"/>
      <c r="M23" s="36"/>
      <c r="N23" s="36"/>
      <c r="O23" s="36"/>
      <c r="P23" s="36"/>
      <c r="Q23" s="36"/>
      <c r="R23" s="36"/>
      <c r="S23" s="36"/>
    </row>
    <row r="24" spans="1:41" ht="69" customHeight="1" x14ac:dyDescent="0.25">
      <c r="A24" s="341"/>
      <c r="B24" s="341"/>
      <c r="C24" s="341"/>
      <c r="D24" s="341"/>
      <c r="E24" s="341"/>
      <c r="F24" s="341"/>
      <c r="G24" s="341"/>
      <c r="H24" s="341"/>
      <c r="I24" s="341"/>
      <c r="J24" s="341"/>
      <c r="K24" s="341"/>
      <c r="L24" s="341"/>
      <c r="M24" s="341"/>
      <c r="N24" s="341"/>
      <c r="O24" s="341"/>
      <c r="P24" s="341"/>
      <c r="Q24" s="341"/>
      <c r="R24" s="341"/>
      <c r="S24" s="341"/>
      <c r="T24" s="35"/>
    </row>
    <row r="25" spans="1:41" ht="18.75" hidden="1" customHeight="1" x14ac:dyDescent="0.25">
      <c r="A25" s="341"/>
      <c r="B25" s="341"/>
      <c r="C25" s="341"/>
      <c r="D25" s="341"/>
      <c r="E25" s="341"/>
      <c r="F25" s="341"/>
      <c r="G25" s="341"/>
      <c r="H25" s="341"/>
      <c r="I25" s="341"/>
      <c r="J25" s="341"/>
      <c r="K25" s="341"/>
      <c r="L25" s="341"/>
      <c r="M25" s="341"/>
      <c r="N25" s="341"/>
      <c r="O25" s="341"/>
      <c r="P25" s="341"/>
      <c r="Q25" s="341"/>
      <c r="R25" s="341"/>
      <c r="S25" s="341"/>
      <c r="T25" s="35"/>
    </row>
    <row r="26" spans="1:41" ht="15" customHeight="1" x14ac:dyDescent="0.25">
      <c r="A26" s="35"/>
      <c r="B26" s="35"/>
      <c r="C26" s="163"/>
      <c r="D26" s="35"/>
      <c r="E26" s="35"/>
      <c r="F26" s="35"/>
      <c r="G26" s="35"/>
      <c r="H26" s="35"/>
      <c r="I26" s="35"/>
      <c r="J26" s="35"/>
      <c r="K26" s="35"/>
      <c r="L26" s="35"/>
      <c r="M26" s="35"/>
      <c r="N26" s="35"/>
      <c r="O26" s="35"/>
      <c r="P26" s="35"/>
      <c r="Q26" s="35"/>
      <c r="R26" s="35"/>
      <c r="S26" s="35"/>
      <c r="T26" s="35"/>
    </row>
    <row r="27" spans="1:41" ht="15" customHeight="1" x14ac:dyDescent="0.25">
      <c r="A27" s="35"/>
      <c r="B27" s="35"/>
      <c r="C27" s="163"/>
      <c r="D27" s="35"/>
      <c r="E27" s="35"/>
      <c r="F27" s="35"/>
      <c r="G27" s="35"/>
      <c r="H27" s="35"/>
      <c r="I27" s="35"/>
      <c r="J27" s="35"/>
      <c r="K27" s="35"/>
      <c r="L27" s="35"/>
      <c r="M27" s="35"/>
      <c r="N27" s="35"/>
      <c r="O27" s="35"/>
      <c r="P27" s="35"/>
      <c r="Q27" s="35"/>
      <c r="R27" s="35"/>
      <c r="S27" s="35"/>
      <c r="T27" s="35"/>
    </row>
    <row r="28" spans="1:41" hidden="1" x14ac:dyDescent="0.25">
      <c r="A28" s="35"/>
      <c r="B28" s="35"/>
      <c r="C28" s="163"/>
      <c r="D28" s="35"/>
      <c r="E28" s="35"/>
      <c r="F28" s="35"/>
      <c r="G28" s="35"/>
      <c r="H28" s="35"/>
      <c r="I28" s="35"/>
      <c r="J28" s="35"/>
      <c r="K28" s="35"/>
      <c r="L28" s="35"/>
      <c r="M28" s="35"/>
      <c r="N28" s="35"/>
      <c r="O28" s="35"/>
      <c r="P28" s="35"/>
      <c r="Q28" s="35"/>
      <c r="R28" s="35"/>
      <c r="S28" s="35"/>
      <c r="T28" s="35"/>
    </row>
    <row r="29" spans="1:41" hidden="1" x14ac:dyDescent="0.25">
      <c r="A29" s="35"/>
      <c r="B29" s="35"/>
      <c r="C29" s="163"/>
      <c r="D29" s="35"/>
      <c r="E29" s="35"/>
      <c r="F29" s="35"/>
      <c r="G29" s="35"/>
      <c r="H29" s="35"/>
      <c r="I29" s="35"/>
      <c r="J29" s="35"/>
      <c r="K29" s="35"/>
      <c r="L29" s="35"/>
      <c r="M29" s="35"/>
      <c r="N29" s="35"/>
      <c r="O29" s="35"/>
      <c r="P29" s="35"/>
      <c r="Q29" s="35"/>
      <c r="R29" s="35"/>
      <c r="S29" s="35"/>
      <c r="T29" s="35"/>
    </row>
    <row r="30" spans="1:41" ht="62.25" customHeight="1" x14ac:dyDescent="0.25">
      <c r="A30" s="335"/>
      <c r="B30" s="335"/>
      <c r="C30" s="335"/>
      <c r="D30" s="335"/>
      <c r="E30" s="335"/>
      <c r="F30" s="335"/>
      <c r="G30" s="335"/>
      <c r="H30" s="335"/>
      <c r="I30" s="335"/>
      <c r="J30" s="335"/>
      <c r="K30" s="335"/>
      <c r="L30" s="335"/>
      <c r="M30" s="335"/>
      <c r="N30" s="335"/>
      <c r="O30" s="335"/>
      <c r="P30" s="335"/>
      <c r="Q30" s="335"/>
      <c r="R30" s="335"/>
      <c r="S30" s="335"/>
      <c r="T30" s="35"/>
    </row>
    <row r="31" spans="1:41" ht="15" customHeight="1" x14ac:dyDescent="0.25">
      <c r="I31" s="7"/>
      <c r="J31" s="7"/>
      <c r="N31" s="7"/>
      <c r="O31" s="7"/>
      <c r="T31" s="53"/>
    </row>
    <row r="32" spans="1:41" ht="22.35" customHeight="1" x14ac:dyDescent="0.25">
      <c r="A32" s="358" t="s">
        <v>49</v>
      </c>
      <c r="B32" s="352"/>
      <c r="C32" s="352">
        <f>C3</f>
        <v>0</v>
      </c>
      <c r="D32" s="352"/>
      <c r="E32" s="352"/>
      <c r="F32" s="352"/>
      <c r="G32" s="352"/>
      <c r="H32" s="352"/>
      <c r="I32" s="352"/>
      <c r="J32" s="43"/>
      <c r="K32" s="42"/>
      <c r="L32" s="44" t="s">
        <v>70</v>
      </c>
      <c r="M32" s="177" t="s">
        <v>48</v>
      </c>
      <c r="N32" s="43"/>
      <c r="O32" s="43"/>
      <c r="P32" s="43"/>
      <c r="Q32" s="352">
        <f>Q3</f>
        <v>0</v>
      </c>
      <c r="R32" s="352"/>
      <c r="S32" s="353"/>
      <c r="T32" s="53"/>
    </row>
    <row r="33" spans="1:20" ht="69.75" customHeight="1" x14ac:dyDescent="0.25">
      <c r="A33" s="47" t="s">
        <v>45</v>
      </c>
      <c r="B33" s="354" t="s">
        <v>53</v>
      </c>
      <c r="C33" s="355"/>
      <c r="D33" s="337" t="s">
        <v>47</v>
      </c>
      <c r="E33" s="337"/>
      <c r="F33" s="344" t="s">
        <v>52</v>
      </c>
      <c r="G33" s="344"/>
      <c r="H33" s="344"/>
      <c r="I33" s="345"/>
      <c r="J33" s="336" t="s">
        <v>51</v>
      </c>
      <c r="K33" s="337"/>
      <c r="L33" s="337"/>
      <c r="M33" s="337"/>
      <c r="N33" s="336" t="s">
        <v>50</v>
      </c>
      <c r="O33" s="336"/>
      <c r="P33" s="337"/>
      <c r="Q33" s="337"/>
      <c r="R33" s="337"/>
      <c r="S33" s="337"/>
      <c r="T33" s="53"/>
    </row>
    <row r="34" spans="1:20" ht="41.25" customHeight="1" x14ac:dyDescent="0.25">
      <c r="A34" s="338"/>
      <c r="B34" s="339"/>
      <c r="C34" s="340"/>
      <c r="D34" s="340"/>
      <c r="E34" s="48"/>
      <c r="F34" s="45" t="s">
        <v>46</v>
      </c>
      <c r="G34" s="41" t="s">
        <v>43</v>
      </c>
      <c r="H34" s="41" t="s">
        <v>44</v>
      </c>
      <c r="I34" s="41" t="s">
        <v>43</v>
      </c>
      <c r="J34" s="45" t="s">
        <v>46</v>
      </c>
      <c r="K34" s="41" t="s">
        <v>43</v>
      </c>
      <c r="L34" s="41" t="s">
        <v>44</v>
      </c>
      <c r="M34" s="41" t="s">
        <v>43</v>
      </c>
      <c r="N34" s="346" t="s">
        <v>46</v>
      </c>
      <c r="O34" s="347"/>
      <c r="P34" s="346" t="s">
        <v>43</v>
      </c>
      <c r="Q34" s="347"/>
      <c r="R34" s="41" t="s">
        <v>44</v>
      </c>
      <c r="S34" s="41" t="s">
        <v>43</v>
      </c>
      <c r="T34" s="53"/>
    </row>
    <row r="35" spans="1:20" ht="20.100000000000001" customHeight="1" x14ac:dyDescent="0.25">
      <c r="A35" s="168" t="str">
        <f>'Blind List Entry'!A20</f>
        <v xml:space="preserve"> </v>
      </c>
      <c r="B35" s="171">
        <f>'Blind List Entry'!B20</f>
        <v>0</v>
      </c>
      <c r="C35" s="176">
        <f>'Blind List Entry'!C20</f>
        <v>0</v>
      </c>
      <c r="D35" s="49">
        <f>'Blind List Entry'!D20</f>
        <v>0</v>
      </c>
      <c r="E35" s="34">
        <f>'Blind List Entry'!E20</f>
        <v>0</v>
      </c>
      <c r="F35" s="34"/>
      <c r="G35" s="33"/>
      <c r="H35" s="33"/>
      <c r="I35" s="33"/>
      <c r="J35" s="33"/>
      <c r="K35" s="33"/>
      <c r="L35" s="33"/>
      <c r="M35" s="33"/>
      <c r="N35" s="342"/>
      <c r="O35" s="343"/>
      <c r="P35" s="342"/>
      <c r="Q35" s="343"/>
      <c r="R35" s="33"/>
      <c r="S35" s="33"/>
      <c r="T35" s="53"/>
    </row>
    <row r="36" spans="1:20" ht="20.100000000000001" customHeight="1" x14ac:dyDescent="0.25">
      <c r="A36" s="168" t="str">
        <f>'Blind List Entry'!A21</f>
        <v xml:space="preserve"> </v>
      </c>
      <c r="B36" s="171">
        <f>'Blind List Entry'!B21</f>
        <v>0</v>
      </c>
      <c r="C36" s="176">
        <f>'Blind List Entry'!C21</f>
        <v>0</v>
      </c>
      <c r="D36" s="49">
        <f>'Blind List Entry'!D21</f>
        <v>0</v>
      </c>
      <c r="E36" s="34">
        <f>'Blind List Entry'!E21</f>
        <v>0</v>
      </c>
      <c r="F36" s="34"/>
      <c r="G36" s="33"/>
      <c r="H36" s="33"/>
      <c r="I36" s="33"/>
      <c r="J36" s="33"/>
      <c r="K36" s="33"/>
      <c r="L36" s="33"/>
      <c r="M36" s="33"/>
      <c r="N36" s="342"/>
      <c r="O36" s="343"/>
      <c r="P36" s="342"/>
      <c r="Q36" s="343"/>
      <c r="R36" s="33"/>
      <c r="S36" s="33"/>
      <c r="T36" s="53"/>
    </row>
    <row r="37" spans="1:20" ht="20.100000000000001" customHeight="1" x14ac:dyDescent="0.25">
      <c r="A37" s="168" t="str">
        <f>'Blind List Entry'!A22</f>
        <v xml:space="preserve"> </v>
      </c>
      <c r="B37" s="171">
        <f>'Blind List Entry'!B22</f>
        <v>0</v>
      </c>
      <c r="C37" s="176">
        <f>'Blind List Entry'!C22</f>
        <v>0</v>
      </c>
      <c r="D37" s="49">
        <f>'Blind List Entry'!D22</f>
        <v>0</v>
      </c>
      <c r="E37" s="34">
        <f>'Blind List Entry'!E22</f>
        <v>0</v>
      </c>
      <c r="F37" s="34"/>
      <c r="G37" s="33"/>
      <c r="H37" s="33"/>
      <c r="I37" s="33"/>
      <c r="J37" s="33"/>
      <c r="K37" s="33"/>
      <c r="L37" s="33"/>
      <c r="M37" s="33"/>
      <c r="N37" s="342"/>
      <c r="O37" s="343"/>
      <c r="P37" s="342"/>
      <c r="Q37" s="343"/>
      <c r="R37" s="33"/>
      <c r="S37" s="33"/>
      <c r="T37" s="53"/>
    </row>
    <row r="38" spans="1:20" ht="20.100000000000001" customHeight="1" x14ac:dyDescent="0.25">
      <c r="A38" s="168" t="str">
        <f>'Blind List Entry'!A23</f>
        <v xml:space="preserve"> </v>
      </c>
      <c r="B38" s="171">
        <f>'Blind List Entry'!B23</f>
        <v>0</v>
      </c>
      <c r="C38" s="176">
        <f>'Blind List Entry'!C23</f>
        <v>0</v>
      </c>
      <c r="D38" s="49">
        <f>'Blind List Entry'!D23</f>
        <v>0</v>
      </c>
      <c r="E38" s="34">
        <f>'Blind List Entry'!E23</f>
        <v>0</v>
      </c>
      <c r="F38" s="34"/>
      <c r="G38" s="33"/>
      <c r="H38" s="33"/>
      <c r="I38" s="33"/>
      <c r="J38" s="33"/>
      <c r="K38" s="33"/>
      <c r="L38" s="33"/>
      <c r="M38" s="33"/>
      <c r="N38" s="342"/>
      <c r="O38" s="343"/>
      <c r="P38" s="342"/>
      <c r="Q38" s="343"/>
      <c r="R38" s="33"/>
      <c r="S38" s="33"/>
      <c r="T38" s="53"/>
    </row>
    <row r="39" spans="1:20" ht="20.100000000000001" customHeight="1" x14ac:dyDescent="0.25">
      <c r="A39" s="168" t="str">
        <f>'Blind List Entry'!A24</f>
        <v xml:space="preserve"> </v>
      </c>
      <c r="B39" s="171">
        <f>'Blind List Entry'!B24</f>
        <v>0</v>
      </c>
      <c r="C39" s="176">
        <f>'Blind List Entry'!C24</f>
        <v>0</v>
      </c>
      <c r="D39" s="49">
        <f>'Blind List Entry'!D24</f>
        <v>0</v>
      </c>
      <c r="E39" s="34">
        <f>'Blind List Entry'!E24</f>
        <v>0</v>
      </c>
      <c r="F39" s="34"/>
      <c r="G39" s="33"/>
      <c r="H39" s="33"/>
      <c r="I39" s="33"/>
      <c r="J39" s="33"/>
      <c r="K39" s="33"/>
      <c r="L39" s="33"/>
      <c r="M39" s="33"/>
      <c r="N39" s="342"/>
      <c r="O39" s="343"/>
      <c r="P39" s="342"/>
      <c r="Q39" s="343"/>
      <c r="R39" s="33"/>
      <c r="S39" s="33"/>
      <c r="T39" s="53"/>
    </row>
    <row r="40" spans="1:20" ht="20.100000000000001" customHeight="1" x14ac:dyDescent="0.25">
      <c r="A40" s="168" t="str">
        <f>'Blind List Entry'!A25</f>
        <v xml:space="preserve"> </v>
      </c>
      <c r="B40" s="171">
        <f>'Blind List Entry'!B25</f>
        <v>0</v>
      </c>
      <c r="C40" s="176">
        <f>'Blind List Entry'!C25</f>
        <v>0</v>
      </c>
      <c r="D40" s="49">
        <f>'Blind List Entry'!D25</f>
        <v>0</v>
      </c>
      <c r="E40" s="34">
        <f>'Blind List Entry'!E25</f>
        <v>0</v>
      </c>
      <c r="F40" s="34"/>
      <c r="G40" s="33"/>
      <c r="H40" s="33"/>
      <c r="I40" s="33"/>
      <c r="J40" s="33"/>
      <c r="K40" s="33"/>
      <c r="L40" s="33"/>
      <c r="M40" s="33"/>
      <c r="N40" s="342"/>
      <c r="O40" s="343"/>
      <c r="P40" s="342"/>
      <c r="Q40" s="343"/>
      <c r="R40" s="33"/>
      <c r="S40" s="33"/>
      <c r="T40" s="53"/>
    </row>
    <row r="41" spans="1:20" ht="20.100000000000001" customHeight="1" x14ac:dyDescent="0.25">
      <c r="A41" s="168" t="str">
        <f>'Blind List Entry'!A26</f>
        <v xml:space="preserve"> </v>
      </c>
      <c r="B41" s="171">
        <f>'Blind List Entry'!B26</f>
        <v>0</v>
      </c>
      <c r="C41" s="176">
        <f>'Blind List Entry'!C26</f>
        <v>0</v>
      </c>
      <c r="D41" s="49">
        <f>'Blind List Entry'!D26</f>
        <v>0</v>
      </c>
      <c r="E41" s="34">
        <f>'Blind List Entry'!E26</f>
        <v>0</v>
      </c>
      <c r="F41" s="34"/>
      <c r="G41" s="33"/>
      <c r="H41" s="33"/>
      <c r="I41" s="33"/>
      <c r="J41" s="33"/>
      <c r="K41" s="33"/>
      <c r="L41" s="33"/>
      <c r="M41" s="33"/>
      <c r="N41" s="342"/>
      <c r="O41" s="343"/>
      <c r="P41" s="342"/>
      <c r="Q41" s="343"/>
      <c r="R41" s="33"/>
      <c r="S41" s="33"/>
      <c r="T41" s="53"/>
    </row>
    <row r="42" spans="1:20" ht="20.100000000000001" customHeight="1" x14ac:dyDescent="0.25">
      <c r="A42" s="168" t="str">
        <f>'Blind List Entry'!A27</f>
        <v xml:space="preserve"> </v>
      </c>
      <c r="B42" s="171">
        <f>'Blind List Entry'!B27</f>
        <v>0</v>
      </c>
      <c r="C42" s="176">
        <f>'Blind List Entry'!C27</f>
        <v>0</v>
      </c>
      <c r="D42" s="49">
        <f>'Blind List Entry'!D27</f>
        <v>0</v>
      </c>
      <c r="E42" s="34">
        <f>'Blind List Entry'!E27</f>
        <v>0</v>
      </c>
      <c r="F42" s="34"/>
      <c r="G42" s="33"/>
      <c r="H42" s="33"/>
      <c r="I42" s="33"/>
      <c r="J42" s="33"/>
      <c r="K42" s="33"/>
      <c r="L42" s="33"/>
      <c r="M42" s="33"/>
      <c r="N42" s="342"/>
      <c r="O42" s="343"/>
      <c r="P42" s="342"/>
      <c r="Q42" s="343"/>
      <c r="R42" s="33"/>
      <c r="S42" s="33"/>
      <c r="T42" s="53"/>
    </row>
    <row r="43" spans="1:20" ht="20.100000000000001" customHeight="1" x14ac:dyDescent="0.25">
      <c r="A43" s="168" t="str">
        <f>'Blind List Entry'!A28</f>
        <v xml:space="preserve"> </v>
      </c>
      <c r="B43" s="171">
        <f>'Blind List Entry'!B28</f>
        <v>0</v>
      </c>
      <c r="C43" s="176">
        <f>'Blind List Entry'!C28</f>
        <v>0</v>
      </c>
      <c r="D43" s="49">
        <f>'Blind List Entry'!D28</f>
        <v>0</v>
      </c>
      <c r="E43" s="34">
        <f>'Blind List Entry'!E28</f>
        <v>0</v>
      </c>
      <c r="F43" s="34"/>
      <c r="G43" s="33"/>
      <c r="H43" s="33"/>
      <c r="I43" s="33"/>
      <c r="J43" s="33"/>
      <c r="K43" s="33"/>
      <c r="L43" s="33"/>
      <c r="M43" s="33"/>
      <c r="N43" s="342"/>
      <c r="O43" s="343"/>
      <c r="P43" s="342"/>
      <c r="Q43" s="343"/>
      <c r="R43" s="33"/>
      <c r="S43" s="33"/>
      <c r="T43" s="53"/>
    </row>
    <row r="44" spans="1:20" ht="20.100000000000001" customHeight="1" x14ac:dyDescent="0.25">
      <c r="A44" s="168" t="str">
        <f>'Blind List Entry'!A29</f>
        <v xml:space="preserve"> </v>
      </c>
      <c r="B44" s="171">
        <f>'Blind List Entry'!B29</f>
        <v>0</v>
      </c>
      <c r="C44" s="176">
        <f>'Blind List Entry'!C29</f>
        <v>0</v>
      </c>
      <c r="D44" s="49">
        <f>'Blind List Entry'!D29</f>
        <v>0</v>
      </c>
      <c r="E44" s="34">
        <f>'Blind List Entry'!E29</f>
        <v>0</v>
      </c>
      <c r="F44" s="34"/>
      <c r="G44" s="33"/>
      <c r="H44" s="33"/>
      <c r="I44" s="33"/>
      <c r="J44" s="33"/>
      <c r="K44" s="33"/>
      <c r="L44" s="33"/>
      <c r="M44" s="33"/>
      <c r="N44" s="342"/>
      <c r="O44" s="343"/>
      <c r="P44" s="342"/>
      <c r="Q44" s="343"/>
      <c r="R44" s="33"/>
      <c r="S44" s="33"/>
      <c r="T44" s="53"/>
    </row>
    <row r="45" spans="1:20" ht="20.100000000000001" customHeight="1" x14ac:dyDescent="0.25">
      <c r="A45" s="168" t="str">
        <f>'Blind List Entry'!A30</f>
        <v xml:space="preserve"> </v>
      </c>
      <c r="B45" s="171">
        <f>'Blind List Entry'!B30</f>
        <v>0</v>
      </c>
      <c r="C45" s="176">
        <f>'Blind List Entry'!C30</f>
        <v>0</v>
      </c>
      <c r="D45" s="49">
        <f>'Blind List Entry'!D30</f>
        <v>0</v>
      </c>
      <c r="E45" s="34">
        <f>'Blind List Entry'!E30</f>
        <v>0</v>
      </c>
      <c r="F45" s="34"/>
      <c r="G45" s="33"/>
      <c r="H45" s="33"/>
      <c r="I45" s="33"/>
      <c r="J45" s="33"/>
      <c r="K45" s="33"/>
      <c r="L45" s="33"/>
      <c r="M45" s="33"/>
      <c r="N45" s="342"/>
      <c r="O45" s="343"/>
      <c r="P45" s="342"/>
      <c r="Q45" s="343"/>
      <c r="R45" s="33"/>
      <c r="S45" s="33"/>
      <c r="T45" s="53"/>
    </row>
    <row r="46" spans="1:20" ht="20.100000000000001" customHeight="1" x14ac:dyDescent="0.25">
      <c r="A46" s="168" t="str">
        <f>'Blind List Entry'!A31</f>
        <v xml:space="preserve"> </v>
      </c>
      <c r="B46" s="171">
        <f>'Blind List Entry'!B31</f>
        <v>0</v>
      </c>
      <c r="C46" s="176">
        <f>'Blind List Entry'!C31</f>
        <v>0</v>
      </c>
      <c r="D46" s="49">
        <f>'Blind List Entry'!D31</f>
        <v>0</v>
      </c>
      <c r="E46" s="34">
        <f>'Blind List Entry'!E31</f>
        <v>0</v>
      </c>
      <c r="F46" s="34"/>
      <c r="G46" s="33"/>
      <c r="H46" s="33"/>
      <c r="I46" s="33"/>
      <c r="J46" s="33"/>
      <c r="K46" s="33"/>
      <c r="L46" s="33"/>
      <c r="M46" s="33"/>
      <c r="N46" s="342"/>
      <c r="O46" s="343"/>
      <c r="P46" s="342"/>
      <c r="Q46" s="343"/>
      <c r="R46" s="33"/>
      <c r="S46" s="33"/>
      <c r="T46" s="53"/>
    </row>
    <row r="47" spans="1:20" ht="20.100000000000001" customHeight="1" x14ac:dyDescent="0.25">
      <c r="A47" s="168" t="str">
        <f>'Blind List Entry'!A32</f>
        <v xml:space="preserve"> </v>
      </c>
      <c r="B47" s="171">
        <f>'Blind List Entry'!B32</f>
        <v>0</v>
      </c>
      <c r="C47" s="176">
        <f>'Blind List Entry'!C32</f>
        <v>0</v>
      </c>
      <c r="D47" s="49">
        <f>'Blind List Entry'!D32</f>
        <v>0</v>
      </c>
      <c r="E47" s="34">
        <f>'Blind List Entry'!E32</f>
        <v>0</v>
      </c>
      <c r="F47" s="34"/>
      <c r="G47" s="33"/>
      <c r="H47" s="33"/>
      <c r="I47" s="33"/>
      <c r="J47" s="33"/>
      <c r="K47" s="33"/>
      <c r="L47" s="33"/>
      <c r="M47" s="33"/>
      <c r="N47" s="342"/>
      <c r="O47" s="343"/>
      <c r="P47" s="342"/>
      <c r="Q47" s="343"/>
      <c r="R47" s="33"/>
      <c r="S47" s="33"/>
      <c r="T47" s="53"/>
    </row>
    <row r="48" spans="1:20" ht="20.100000000000001" customHeight="1" x14ac:dyDescent="0.25">
      <c r="A48" s="168" t="str">
        <f>'Blind List Entry'!A33</f>
        <v xml:space="preserve"> </v>
      </c>
      <c r="B48" s="171">
        <f>'Blind List Entry'!B33</f>
        <v>0</v>
      </c>
      <c r="C48" s="176">
        <f>'Blind List Entry'!C33</f>
        <v>0</v>
      </c>
      <c r="D48" s="49">
        <f>'Blind List Entry'!D33</f>
        <v>0</v>
      </c>
      <c r="E48" s="34">
        <f>'Blind List Entry'!E33</f>
        <v>0</v>
      </c>
      <c r="F48" s="34"/>
      <c r="G48" s="33"/>
      <c r="H48" s="33"/>
      <c r="I48" s="33"/>
      <c r="J48" s="33"/>
      <c r="K48" s="33"/>
      <c r="L48" s="33"/>
      <c r="M48" s="33"/>
      <c r="N48" s="342"/>
      <c r="O48" s="343"/>
      <c r="P48" s="342"/>
      <c r="Q48" s="343"/>
      <c r="R48" s="33"/>
      <c r="S48" s="33"/>
      <c r="T48" s="53"/>
    </row>
    <row r="49" spans="1:20" ht="20.100000000000001" customHeight="1" x14ac:dyDescent="0.25">
      <c r="A49" s="168" t="str">
        <f>'Blind List Entry'!A34</f>
        <v xml:space="preserve"> </v>
      </c>
      <c r="B49" s="171">
        <f>'Blind List Entry'!B34</f>
        <v>0</v>
      </c>
      <c r="C49" s="176">
        <f>'Blind List Entry'!C34</f>
        <v>0</v>
      </c>
      <c r="D49" s="49">
        <f>'Blind List Entry'!D34</f>
        <v>0</v>
      </c>
      <c r="E49" s="34">
        <f>'Blind List Entry'!E34</f>
        <v>0</v>
      </c>
      <c r="F49" s="34"/>
      <c r="G49" s="33"/>
      <c r="H49" s="33"/>
      <c r="I49" s="33"/>
      <c r="J49" s="33"/>
      <c r="K49" s="33"/>
      <c r="L49" s="33"/>
      <c r="M49" s="33"/>
      <c r="N49" s="342"/>
      <c r="O49" s="343"/>
      <c r="P49" s="342"/>
      <c r="Q49" s="343"/>
      <c r="R49" s="33"/>
      <c r="S49" s="33"/>
      <c r="T49" s="53"/>
    </row>
    <row r="50" spans="1:20" x14ac:dyDescent="0.25">
      <c r="A50" s="36"/>
      <c r="B50" s="40" t="s">
        <v>54</v>
      </c>
      <c r="C50" s="174"/>
      <c r="D50" s="36"/>
      <c r="E50" s="36"/>
      <c r="F50" s="36"/>
      <c r="G50" s="36"/>
      <c r="H50" s="36"/>
      <c r="I50" s="36"/>
      <c r="J50" s="36"/>
      <c r="K50" s="36"/>
      <c r="L50" s="36"/>
      <c r="M50" s="36"/>
      <c r="N50" s="36"/>
      <c r="O50" s="36"/>
      <c r="P50" s="36"/>
      <c r="Q50" s="36"/>
      <c r="R50" s="36"/>
      <c r="S50" s="36"/>
      <c r="T50" s="53"/>
    </row>
    <row r="51" spans="1:20" ht="15.75" customHeight="1" x14ac:dyDescent="0.25">
      <c r="A51" s="36"/>
      <c r="B51" s="38" t="s">
        <v>55</v>
      </c>
      <c r="C51" s="175"/>
      <c r="D51" s="38"/>
      <c r="E51" s="38"/>
      <c r="F51" s="38"/>
      <c r="G51" s="38"/>
      <c r="H51" s="38"/>
      <c r="I51" s="38"/>
      <c r="J51" s="38"/>
      <c r="K51" s="38"/>
      <c r="L51" s="38"/>
      <c r="M51" s="38"/>
      <c r="N51" s="38"/>
      <c r="O51" s="38"/>
      <c r="P51" s="38"/>
      <c r="Q51" s="38"/>
      <c r="R51" s="38"/>
      <c r="S51" s="38"/>
      <c r="T51" s="53"/>
    </row>
    <row r="52" spans="1:20" ht="18.75" customHeight="1" x14ac:dyDescent="0.25">
      <c r="A52" s="36"/>
      <c r="B52" s="37" t="s">
        <v>56</v>
      </c>
      <c r="C52" s="175"/>
      <c r="D52" s="36"/>
      <c r="E52" s="36"/>
      <c r="F52" s="36"/>
      <c r="G52" s="36"/>
      <c r="H52" s="36"/>
      <c r="I52" s="36"/>
      <c r="J52" s="36"/>
      <c r="K52" s="36"/>
      <c r="L52" s="36"/>
      <c r="M52" s="36"/>
      <c r="N52" s="36"/>
      <c r="O52" s="36"/>
      <c r="P52" s="36"/>
      <c r="Q52" s="36"/>
      <c r="R52" s="36"/>
      <c r="S52" s="36"/>
      <c r="T52" s="53"/>
    </row>
    <row r="53" spans="1:20" ht="15" customHeight="1" x14ac:dyDescent="0.25">
      <c r="A53" s="341"/>
      <c r="B53" s="341"/>
      <c r="C53" s="341"/>
      <c r="D53" s="341"/>
      <c r="E53" s="341"/>
      <c r="F53" s="341"/>
      <c r="G53" s="341"/>
      <c r="H53" s="341"/>
      <c r="I53" s="341"/>
      <c r="J53" s="341"/>
      <c r="K53" s="341"/>
      <c r="L53" s="341"/>
      <c r="M53" s="341"/>
      <c r="N53" s="341"/>
      <c r="O53" s="341"/>
      <c r="P53" s="341"/>
      <c r="Q53" s="341"/>
      <c r="R53" s="341"/>
      <c r="S53" s="341"/>
      <c r="T53" s="35"/>
    </row>
    <row r="54" spans="1:20" ht="15" customHeight="1" x14ac:dyDescent="0.25">
      <c r="A54" s="341"/>
      <c r="B54" s="341"/>
      <c r="C54" s="341"/>
      <c r="D54" s="341"/>
      <c r="E54" s="341"/>
      <c r="F54" s="341"/>
      <c r="G54" s="341"/>
      <c r="H54" s="341"/>
      <c r="I54" s="341"/>
      <c r="J54" s="341"/>
      <c r="K54" s="341"/>
      <c r="L54" s="341"/>
      <c r="M54" s="341"/>
      <c r="N54" s="341"/>
      <c r="O54" s="341"/>
      <c r="P54" s="341"/>
      <c r="Q54" s="341"/>
      <c r="R54" s="341"/>
      <c r="S54" s="341"/>
      <c r="T54" s="35"/>
    </row>
    <row r="55" spans="1:20" x14ac:dyDescent="0.25">
      <c r="A55" s="35"/>
      <c r="B55" s="35"/>
      <c r="C55" s="163"/>
      <c r="D55" s="35"/>
      <c r="E55" s="35"/>
      <c r="F55" s="35"/>
      <c r="G55" s="35"/>
      <c r="H55" s="35"/>
      <c r="I55" s="35"/>
      <c r="J55" s="35"/>
      <c r="K55" s="35"/>
      <c r="L55" s="35"/>
      <c r="M55" s="35"/>
      <c r="N55" s="35"/>
      <c r="O55" s="35"/>
      <c r="P55" s="35"/>
      <c r="Q55" s="35"/>
      <c r="R55" s="35"/>
      <c r="S55" s="35"/>
      <c r="T55" s="35"/>
    </row>
    <row r="56" spans="1:20" x14ac:dyDescent="0.25">
      <c r="A56" s="35"/>
      <c r="B56" s="35"/>
      <c r="C56" s="163"/>
      <c r="D56" s="35"/>
      <c r="E56" s="35"/>
      <c r="F56" s="35"/>
      <c r="G56" s="35"/>
      <c r="H56" s="35"/>
      <c r="I56" s="35"/>
      <c r="J56" s="35"/>
      <c r="K56" s="35"/>
      <c r="L56" s="35"/>
      <c r="M56" s="35"/>
      <c r="N56" s="35"/>
      <c r="O56" s="35"/>
      <c r="P56" s="35"/>
      <c r="Q56" s="35"/>
      <c r="R56" s="35"/>
      <c r="S56" s="35"/>
      <c r="T56" s="35"/>
    </row>
    <row r="57" spans="1:20" x14ac:dyDescent="0.25">
      <c r="A57" s="35"/>
      <c r="B57" s="35"/>
      <c r="C57" s="163"/>
      <c r="D57" s="35"/>
      <c r="E57" s="35"/>
      <c r="F57" s="35"/>
      <c r="G57" s="35"/>
      <c r="H57" s="35"/>
      <c r="I57" s="35"/>
      <c r="J57" s="35"/>
      <c r="K57" s="35"/>
      <c r="L57" s="35"/>
      <c r="M57" s="35"/>
      <c r="N57" s="35"/>
      <c r="O57" s="35"/>
      <c r="P57" s="35"/>
      <c r="Q57" s="35"/>
      <c r="R57" s="35"/>
      <c r="S57" s="35"/>
      <c r="T57" s="35"/>
    </row>
    <row r="58" spans="1:20" x14ac:dyDescent="0.25">
      <c r="A58" s="35"/>
      <c r="B58" s="35"/>
      <c r="C58" s="163"/>
      <c r="D58" s="35"/>
      <c r="E58" s="35"/>
      <c r="F58" s="35"/>
      <c r="G58" s="35"/>
      <c r="H58" s="35"/>
      <c r="I58" s="35"/>
      <c r="J58" s="35"/>
      <c r="K58" s="35"/>
      <c r="L58" s="35"/>
      <c r="M58" s="35"/>
      <c r="N58" s="35"/>
      <c r="O58" s="35"/>
      <c r="P58" s="35"/>
      <c r="Q58" s="35"/>
      <c r="R58" s="35"/>
      <c r="S58" s="35"/>
      <c r="T58" s="35"/>
    </row>
    <row r="59" spans="1:20" x14ac:dyDescent="0.25">
      <c r="A59" s="35"/>
      <c r="B59" s="35"/>
      <c r="C59" s="163"/>
      <c r="D59" s="35"/>
      <c r="E59" s="35"/>
      <c r="F59" s="35"/>
      <c r="G59" s="35"/>
      <c r="H59" s="35"/>
      <c r="I59" s="35"/>
      <c r="J59" s="35"/>
      <c r="K59" s="35"/>
      <c r="L59" s="35"/>
      <c r="M59" s="35"/>
      <c r="N59" s="35"/>
      <c r="O59" s="35"/>
      <c r="P59" s="35"/>
      <c r="Q59" s="35"/>
      <c r="R59" s="35"/>
      <c r="S59" s="35"/>
      <c r="T59" s="35"/>
    </row>
    <row r="60" spans="1:20" x14ac:dyDescent="0.25">
      <c r="A60" s="35"/>
      <c r="B60" s="35"/>
      <c r="C60" s="163"/>
      <c r="D60" s="35"/>
      <c r="E60" s="35"/>
      <c r="F60" s="35"/>
      <c r="G60" s="35"/>
      <c r="H60" s="35"/>
      <c r="I60" s="35"/>
      <c r="J60" s="35"/>
      <c r="K60" s="35"/>
      <c r="L60" s="35"/>
      <c r="M60" s="35"/>
      <c r="N60" s="35"/>
      <c r="O60" s="35"/>
      <c r="P60" s="35"/>
      <c r="Q60" s="35"/>
      <c r="R60" s="35"/>
      <c r="S60" s="35"/>
      <c r="T60" s="35"/>
    </row>
    <row r="61" spans="1:20" x14ac:dyDescent="0.25">
      <c r="A61" s="35"/>
      <c r="B61" s="35"/>
      <c r="C61" s="163"/>
      <c r="D61" s="35"/>
      <c r="E61" s="35"/>
      <c r="F61" s="35"/>
      <c r="G61" s="35"/>
      <c r="H61" s="35"/>
      <c r="I61" s="35"/>
      <c r="J61" s="35"/>
      <c r="K61" s="35"/>
      <c r="L61" s="35"/>
      <c r="M61" s="35"/>
      <c r="N61" s="35"/>
      <c r="O61" s="35"/>
      <c r="P61" s="35"/>
      <c r="Q61" s="35"/>
      <c r="R61" s="35"/>
      <c r="S61" s="35"/>
      <c r="T61" s="35"/>
    </row>
    <row r="62" spans="1:20" x14ac:dyDescent="0.25">
      <c r="A62" s="35"/>
      <c r="B62" s="35"/>
      <c r="C62" s="163"/>
      <c r="D62" s="35"/>
      <c r="E62" s="35"/>
      <c r="F62" s="35"/>
      <c r="G62" s="35"/>
      <c r="H62" s="35"/>
      <c r="I62" s="35"/>
      <c r="J62" s="35"/>
      <c r="K62" s="35"/>
      <c r="L62" s="35"/>
      <c r="M62" s="35"/>
      <c r="N62" s="35"/>
      <c r="O62" s="35"/>
      <c r="P62" s="35"/>
      <c r="Q62" s="35"/>
      <c r="R62" s="35"/>
      <c r="S62" s="35"/>
      <c r="T62" s="35"/>
    </row>
    <row r="63" spans="1:20" x14ac:dyDescent="0.25">
      <c r="A63" s="35"/>
      <c r="B63" s="35"/>
      <c r="C63" s="163"/>
      <c r="D63" s="35"/>
      <c r="E63" s="35"/>
      <c r="F63" s="35"/>
      <c r="G63" s="35"/>
      <c r="H63" s="35"/>
      <c r="I63" s="35"/>
      <c r="J63" s="35"/>
      <c r="K63" s="35"/>
      <c r="L63" s="35"/>
      <c r="M63" s="35"/>
      <c r="N63" s="35"/>
      <c r="O63" s="35"/>
      <c r="P63" s="35"/>
      <c r="Q63" s="35"/>
      <c r="R63" s="35"/>
      <c r="S63" s="35"/>
      <c r="T63" s="35"/>
    </row>
    <row r="64" spans="1:20" x14ac:dyDescent="0.25">
      <c r="A64" s="35"/>
      <c r="B64" s="35"/>
      <c r="C64" s="163"/>
      <c r="D64" s="35"/>
      <c r="E64" s="35"/>
      <c r="F64" s="35"/>
      <c r="G64" s="35"/>
      <c r="H64" s="35"/>
      <c r="I64" s="35"/>
      <c r="J64" s="35"/>
      <c r="K64" s="35"/>
      <c r="L64" s="35"/>
      <c r="M64" s="35"/>
      <c r="N64" s="35"/>
      <c r="O64" s="35"/>
      <c r="P64" s="35"/>
      <c r="Q64" s="35"/>
      <c r="R64" s="35"/>
      <c r="S64" s="35"/>
      <c r="T64" s="35"/>
    </row>
    <row r="65" spans="1:20" x14ac:dyDescent="0.25">
      <c r="A65" s="35"/>
      <c r="B65" s="35"/>
      <c r="C65" s="163"/>
      <c r="D65" s="35"/>
      <c r="E65" s="35"/>
      <c r="F65" s="35"/>
      <c r="G65" s="35"/>
      <c r="H65" s="35"/>
      <c r="I65" s="35"/>
      <c r="J65" s="35"/>
      <c r="K65" s="35"/>
      <c r="L65" s="35"/>
      <c r="M65" s="35"/>
      <c r="N65" s="35"/>
      <c r="O65" s="35"/>
      <c r="P65" s="35"/>
      <c r="Q65" s="35"/>
      <c r="R65" s="35"/>
      <c r="S65" s="35"/>
      <c r="T65" s="35"/>
    </row>
    <row r="66" spans="1:20" x14ac:dyDescent="0.25">
      <c r="A66" s="35"/>
      <c r="B66" s="35"/>
      <c r="C66" s="163"/>
      <c r="D66" s="35"/>
      <c r="E66" s="35"/>
      <c r="F66" s="35"/>
      <c r="G66" s="35"/>
      <c r="H66" s="35"/>
      <c r="I66" s="35"/>
      <c r="J66" s="35"/>
      <c r="K66" s="35"/>
      <c r="L66" s="35"/>
      <c r="M66" s="35"/>
      <c r="N66" s="35"/>
      <c r="O66" s="35"/>
      <c r="P66" s="35"/>
      <c r="Q66" s="35"/>
      <c r="R66" s="35"/>
      <c r="S66" s="35"/>
      <c r="T66" s="35"/>
    </row>
    <row r="67" spans="1:20" x14ac:dyDescent="0.25">
      <c r="A67" s="35"/>
      <c r="B67" s="35"/>
      <c r="C67" s="163"/>
      <c r="D67" s="35"/>
      <c r="E67" s="35"/>
      <c r="F67" s="35"/>
      <c r="G67" s="35"/>
      <c r="H67" s="35"/>
      <c r="I67" s="35"/>
      <c r="J67" s="35"/>
      <c r="K67" s="35"/>
      <c r="L67" s="35"/>
      <c r="M67" s="35"/>
      <c r="N67" s="35"/>
      <c r="O67" s="35"/>
      <c r="P67" s="35"/>
      <c r="Q67" s="35"/>
      <c r="R67" s="35"/>
      <c r="S67" s="35"/>
      <c r="T67" s="35"/>
    </row>
    <row r="68" spans="1:20" x14ac:dyDescent="0.25">
      <c r="A68" s="35"/>
      <c r="B68" s="35"/>
      <c r="C68" s="163"/>
      <c r="D68" s="35"/>
      <c r="E68" s="35"/>
      <c r="F68" s="35"/>
      <c r="G68" s="35"/>
      <c r="H68" s="35"/>
      <c r="I68" s="35"/>
      <c r="J68" s="35"/>
      <c r="K68" s="35"/>
      <c r="L68" s="35"/>
      <c r="M68" s="35"/>
      <c r="N68" s="35"/>
      <c r="O68" s="35"/>
      <c r="P68" s="35"/>
      <c r="Q68" s="35"/>
      <c r="R68" s="35"/>
      <c r="S68" s="35"/>
      <c r="T68" s="35"/>
    </row>
    <row r="69" spans="1:20" x14ac:dyDescent="0.25">
      <c r="A69" s="35"/>
      <c r="B69" s="35"/>
      <c r="C69" s="163"/>
      <c r="D69" s="35"/>
      <c r="E69" s="35"/>
      <c r="F69" s="35"/>
      <c r="G69" s="35"/>
      <c r="H69" s="35"/>
      <c r="I69" s="35"/>
      <c r="J69" s="35"/>
      <c r="K69" s="35"/>
      <c r="L69" s="35"/>
      <c r="M69" s="35"/>
      <c r="N69" s="35"/>
      <c r="O69" s="35"/>
      <c r="P69" s="35"/>
      <c r="Q69" s="35"/>
      <c r="R69" s="35"/>
      <c r="S69" s="35"/>
      <c r="T69" s="35"/>
    </row>
    <row r="70" spans="1:20" x14ac:dyDescent="0.25">
      <c r="A70" s="35"/>
      <c r="B70" s="35"/>
      <c r="C70" s="163"/>
      <c r="D70" s="35"/>
      <c r="E70" s="35"/>
      <c r="F70" s="35"/>
      <c r="G70" s="35"/>
      <c r="H70" s="35"/>
      <c r="I70" s="35"/>
      <c r="J70" s="35"/>
      <c r="K70" s="35"/>
      <c r="L70" s="35"/>
      <c r="M70" s="35"/>
      <c r="N70" s="35"/>
      <c r="O70" s="35"/>
      <c r="P70" s="35"/>
      <c r="Q70" s="35"/>
      <c r="R70" s="35"/>
      <c r="S70" s="35"/>
      <c r="T70" s="35"/>
    </row>
    <row r="71" spans="1:20" x14ac:dyDescent="0.25">
      <c r="A71" s="35"/>
      <c r="B71" s="35"/>
      <c r="C71" s="163"/>
      <c r="D71" s="35"/>
      <c r="E71" s="35"/>
      <c r="F71" s="35"/>
      <c r="G71" s="35"/>
      <c r="H71" s="35"/>
      <c r="I71" s="35"/>
      <c r="J71" s="35"/>
      <c r="K71" s="35"/>
      <c r="L71" s="35"/>
      <c r="M71" s="35"/>
      <c r="N71" s="35"/>
      <c r="O71" s="35"/>
      <c r="P71" s="35"/>
      <c r="Q71" s="35"/>
      <c r="R71" s="35"/>
      <c r="S71" s="35"/>
      <c r="T71" s="35"/>
    </row>
    <row r="72" spans="1:20" x14ac:dyDescent="0.25">
      <c r="A72" s="35"/>
      <c r="B72" s="35"/>
      <c r="C72" s="163"/>
      <c r="D72" s="35"/>
      <c r="E72" s="35"/>
      <c r="F72" s="35"/>
      <c r="G72" s="35"/>
      <c r="H72" s="35"/>
      <c r="I72" s="35"/>
      <c r="J72" s="35"/>
      <c r="K72" s="35"/>
      <c r="L72" s="35"/>
      <c r="M72" s="35"/>
      <c r="N72" s="35"/>
      <c r="O72" s="35"/>
      <c r="P72" s="35"/>
      <c r="Q72" s="35"/>
      <c r="R72" s="35"/>
      <c r="S72" s="35"/>
      <c r="T72" s="35"/>
    </row>
    <row r="73" spans="1:20" x14ac:dyDescent="0.25">
      <c r="A73" s="35"/>
      <c r="B73" s="35"/>
      <c r="C73" s="163"/>
      <c r="D73" s="35"/>
      <c r="E73" s="35"/>
      <c r="F73" s="35"/>
      <c r="G73" s="35"/>
      <c r="H73" s="35"/>
      <c r="I73" s="35"/>
      <c r="J73" s="35"/>
      <c r="K73" s="35"/>
      <c r="L73" s="35"/>
      <c r="M73" s="35"/>
      <c r="N73" s="35"/>
      <c r="O73" s="35"/>
      <c r="P73" s="35"/>
      <c r="Q73" s="35"/>
      <c r="R73" s="35"/>
      <c r="S73" s="35"/>
      <c r="T73" s="35"/>
    </row>
    <row r="74" spans="1:20" x14ac:dyDescent="0.25">
      <c r="A74" s="35"/>
      <c r="B74" s="35"/>
      <c r="C74" s="163"/>
      <c r="D74" s="35"/>
      <c r="E74" s="35"/>
      <c r="F74" s="35"/>
      <c r="G74" s="35"/>
      <c r="H74" s="35"/>
      <c r="I74" s="35"/>
      <c r="J74" s="35"/>
      <c r="K74" s="35"/>
      <c r="L74" s="35"/>
      <c r="M74" s="35"/>
      <c r="N74" s="35"/>
      <c r="O74" s="35"/>
      <c r="P74" s="35"/>
      <c r="Q74" s="35"/>
      <c r="R74" s="35"/>
      <c r="S74" s="35"/>
      <c r="T74" s="35"/>
    </row>
    <row r="75" spans="1:20" x14ac:dyDescent="0.25">
      <c r="A75" s="35"/>
      <c r="B75" s="35"/>
      <c r="C75" s="163"/>
      <c r="D75" s="35"/>
      <c r="E75" s="35"/>
      <c r="F75" s="35"/>
      <c r="G75" s="35"/>
      <c r="H75" s="35"/>
      <c r="I75" s="35"/>
      <c r="J75" s="35"/>
      <c r="K75" s="35"/>
      <c r="L75" s="35"/>
      <c r="M75" s="35"/>
      <c r="N75" s="35"/>
      <c r="O75" s="35"/>
      <c r="P75" s="35"/>
      <c r="Q75" s="35"/>
      <c r="R75" s="35"/>
      <c r="S75" s="35"/>
      <c r="T75" s="35"/>
    </row>
    <row r="76" spans="1:20" x14ac:dyDescent="0.25">
      <c r="A76" s="35"/>
      <c r="B76" s="35"/>
      <c r="C76" s="163"/>
      <c r="D76" s="35"/>
      <c r="E76" s="35"/>
      <c r="F76" s="35"/>
      <c r="G76" s="35"/>
      <c r="H76" s="35"/>
      <c r="I76" s="35"/>
      <c r="J76" s="35"/>
      <c r="K76" s="35"/>
      <c r="L76" s="35"/>
      <c r="M76" s="35"/>
      <c r="N76" s="35"/>
      <c r="O76" s="35"/>
      <c r="P76" s="35"/>
      <c r="Q76" s="35"/>
      <c r="R76" s="35"/>
      <c r="S76" s="35"/>
      <c r="T76" s="35"/>
    </row>
    <row r="77" spans="1:20" x14ac:dyDescent="0.25">
      <c r="A77" s="35"/>
      <c r="B77" s="35"/>
      <c r="C77" s="163"/>
      <c r="D77" s="35"/>
      <c r="E77" s="35"/>
      <c r="F77" s="35"/>
      <c r="G77" s="35"/>
      <c r="H77" s="35"/>
      <c r="I77" s="35"/>
      <c r="J77" s="35"/>
      <c r="K77" s="35"/>
      <c r="L77" s="35"/>
      <c r="M77" s="35"/>
      <c r="N77" s="35"/>
      <c r="O77" s="35"/>
      <c r="P77" s="35"/>
      <c r="Q77" s="35"/>
      <c r="R77" s="35"/>
      <c r="S77" s="35"/>
      <c r="T77" s="35"/>
    </row>
    <row r="78" spans="1:20" x14ac:dyDescent="0.25">
      <c r="A78" s="35"/>
      <c r="B78" s="35"/>
      <c r="C78" s="163"/>
      <c r="D78" s="35"/>
      <c r="E78" s="35"/>
      <c r="F78" s="35"/>
      <c r="G78" s="35"/>
      <c r="H78" s="35"/>
      <c r="I78" s="35"/>
      <c r="J78" s="35"/>
      <c r="K78" s="35"/>
      <c r="L78" s="35"/>
      <c r="M78" s="35"/>
      <c r="N78" s="35"/>
      <c r="O78" s="35"/>
      <c r="P78" s="35"/>
      <c r="Q78" s="35"/>
      <c r="R78" s="35"/>
      <c r="S78" s="35"/>
      <c r="T78" s="35"/>
    </row>
    <row r="79" spans="1:20" x14ac:dyDescent="0.25">
      <c r="A79" s="35"/>
      <c r="B79" s="35"/>
      <c r="C79" s="163"/>
      <c r="D79" s="35"/>
      <c r="E79" s="35"/>
      <c r="F79" s="35"/>
      <c r="G79" s="35"/>
      <c r="H79" s="35"/>
      <c r="I79" s="35"/>
      <c r="J79" s="35"/>
      <c r="K79" s="35"/>
      <c r="L79" s="35"/>
      <c r="M79" s="35"/>
      <c r="N79" s="35"/>
      <c r="O79" s="35"/>
      <c r="P79" s="35"/>
      <c r="Q79" s="35"/>
      <c r="R79" s="35"/>
      <c r="S79" s="35"/>
      <c r="T79" s="35"/>
    </row>
    <row r="80" spans="1:20" x14ac:dyDescent="0.25">
      <c r="A80" s="35"/>
      <c r="B80" s="35"/>
      <c r="C80" s="163"/>
      <c r="D80" s="35"/>
      <c r="E80" s="35"/>
      <c r="F80" s="35"/>
      <c r="G80" s="35"/>
      <c r="H80" s="35"/>
      <c r="I80" s="35"/>
      <c r="J80" s="35"/>
      <c r="K80" s="35"/>
      <c r="L80" s="35"/>
      <c r="M80" s="35"/>
      <c r="N80" s="35"/>
      <c r="O80" s="35"/>
      <c r="P80" s="35"/>
      <c r="Q80" s="35"/>
      <c r="R80" s="35"/>
      <c r="S80" s="35"/>
      <c r="T80" s="35"/>
    </row>
    <row r="81" spans="1:20" x14ac:dyDescent="0.25">
      <c r="A81" s="35"/>
      <c r="B81" s="35"/>
      <c r="C81" s="163"/>
      <c r="D81" s="35"/>
      <c r="E81" s="35"/>
      <c r="F81" s="35"/>
      <c r="G81" s="35"/>
      <c r="H81" s="35"/>
      <c r="I81" s="35"/>
      <c r="J81" s="35"/>
      <c r="K81" s="35"/>
      <c r="L81" s="35"/>
      <c r="M81" s="35"/>
      <c r="N81" s="35"/>
      <c r="O81" s="35"/>
      <c r="P81" s="35"/>
      <c r="Q81" s="35"/>
      <c r="R81" s="35"/>
      <c r="S81" s="35"/>
      <c r="T81" s="35"/>
    </row>
    <row r="82" spans="1:20" x14ac:dyDescent="0.25">
      <c r="A82" s="35"/>
      <c r="B82" s="35"/>
      <c r="C82" s="163"/>
      <c r="D82" s="35"/>
      <c r="E82" s="35"/>
      <c r="F82" s="35"/>
      <c r="G82" s="35"/>
      <c r="H82" s="35"/>
      <c r="I82" s="35"/>
      <c r="J82" s="35"/>
      <c r="K82" s="35"/>
      <c r="L82" s="35"/>
      <c r="M82" s="35"/>
      <c r="N82" s="35"/>
      <c r="O82" s="35"/>
      <c r="P82" s="35"/>
      <c r="Q82" s="35"/>
      <c r="R82" s="35"/>
      <c r="S82" s="35"/>
      <c r="T82" s="35"/>
    </row>
    <row r="83" spans="1:20" x14ac:dyDescent="0.25">
      <c r="A83" s="35"/>
      <c r="B83" s="35"/>
      <c r="C83" s="163"/>
      <c r="D83" s="35"/>
      <c r="E83" s="35"/>
      <c r="F83" s="35"/>
      <c r="G83" s="35"/>
      <c r="H83" s="35"/>
      <c r="I83" s="35"/>
      <c r="J83" s="35"/>
      <c r="K83" s="35"/>
      <c r="L83" s="35"/>
      <c r="M83" s="35"/>
      <c r="N83" s="35"/>
      <c r="O83" s="35"/>
      <c r="P83" s="35"/>
      <c r="Q83" s="35"/>
      <c r="R83" s="35"/>
      <c r="S83" s="35"/>
      <c r="T83" s="35"/>
    </row>
    <row r="84" spans="1:20" x14ac:dyDescent="0.25">
      <c r="A84" s="35"/>
      <c r="B84" s="35"/>
      <c r="C84" s="163"/>
      <c r="D84" s="35"/>
      <c r="E84" s="35"/>
      <c r="F84" s="35"/>
      <c r="G84" s="35"/>
      <c r="H84" s="35"/>
      <c r="I84" s="35"/>
      <c r="J84" s="35"/>
      <c r="K84" s="35"/>
      <c r="L84" s="35"/>
      <c r="M84" s="35"/>
      <c r="N84" s="35"/>
      <c r="O84" s="35"/>
      <c r="P84" s="35"/>
      <c r="Q84" s="35"/>
      <c r="R84" s="35"/>
      <c r="S84" s="35"/>
      <c r="T84" s="35"/>
    </row>
    <row r="85" spans="1:20" x14ac:dyDescent="0.25">
      <c r="A85" s="35"/>
      <c r="B85" s="35"/>
      <c r="C85" s="163"/>
      <c r="D85" s="35"/>
      <c r="E85" s="35"/>
      <c r="F85" s="35"/>
      <c r="G85" s="35"/>
      <c r="H85" s="35"/>
      <c r="I85" s="35"/>
      <c r="J85" s="35"/>
      <c r="K85" s="35"/>
      <c r="L85" s="35"/>
      <c r="M85" s="35"/>
      <c r="N85" s="35"/>
      <c r="O85" s="35"/>
      <c r="P85" s="35"/>
      <c r="Q85" s="35"/>
      <c r="R85" s="35"/>
      <c r="S85" s="35"/>
      <c r="T85" s="35"/>
    </row>
    <row r="86" spans="1:20" x14ac:dyDescent="0.25">
      <c r="A86" s="35"/>
      <c r="B86" s="35"/>
      <c r="C86" s="163"/>
      <c r="D86" s="35"/>
      <c r="E86" s="35"/>
      <c r="F86" s="35"/>
      <c r="G86" s="35"/>
      <c r="H86" s="35"/>
      <c r="I86" s="35"/>
      <c r="J86" s="35"/>
      <c r="K86" s="35"/>
      <c r="L86" s="35"/>
      <c r="M86" s="35"/>
      <c r="N86" s="35"/>
      <c r="O86" s="35"/>
      <c r="P86" s="35"/>
      <c r="Q86" s="35"/>
      <c r="R86" s="35"/>
      <c r="S86" s="35"/>
      <c r="T86" s="35"/>
    </row>
    <row r="87" spans="1:20" x14ac:dyDescent="0.25">
      <c r="A87" s="35"/>
      <c r="B87" s="35"/>
      <c r="C87" s="163"/>
      <c r="D87" s="35"/>
      <c r="E87" s="35"/>
      <c r="F87" s="35"/>
      <c r="G87" s="35"/>
      <c r="H87" s="35"/>
      <c r="I87" s="35"/>
      <c r="J87" s="35"/>
      <c r="K87" s="35"/>
      <c r="L87" s="35"/>
      <c r="M87" s="35"/>
      <c r="N87" s="35"/>
      <c r="O87" s="35"/>
      <c r="P87" s="35"/>
      <c r="Q87" s="35"/>
      <c r="R87" s="35"/>
      <c r="S87" s="35"/>
      <c r="T87" s="35"/>
    </row>
    <row r="88" spans="1:20" x14ac:dyDescent="0.25">
      <c r="A88" s="35"/>
      <c r="B88" s="35"/>
      <c r="C88" s="163"/>
      <c r="D88" s="35"/>
      <c r="E88" s="35"/>
      <c r="F88" s="35"/>
      <c r="G88" s="35"/>
      <c r="H88" s="35"/>
      <c r="I88" s="35"/>
      <c r="J88" s="35"/>
      <c r="K88" s="35"/>
      <c r="L88" s="35"/>
      <c r="M88" s="35"/>
      <c r="N88" s="35"/>
      <c r="O88" s="35"/>
      <c r="P88" s="35"/>
      <c r="Q88" s="35"/>
      <c r="R88" s="35"/>
      <c r="S88" s="35"/>
      <c r="T88" s="35"/>
    </row>
    <row r="89" spans="1:20" x14ac:dyDescent="0.25">
      <c r="A89" s="35"/>
      <c r="B89" s="35"/>
      <c r="C89" s="163"/>
      <c r="D89" s="35"/>
      <c r="E89" s="35"/>
      <c r="F89" s="35"/>
      <c r="G89" s="35"/>
      <c r="H89" s="35"/>
      <c r="I89" s="35"/>
      <c r="J89" s="35"/>
      <c r="K89" s="35"/>
      <c r="L89" s="35"/>
      <c r="M89" s="35"/>
      <c r="N89" s="35"/>
      <c r="O89" s="35"/>
      <c r="P89" s="35"/>
      <c r="Q89" s="35"/>
      <c r="R89" s="35"/>
      <c r="S89" s="35"/>
      <c r="T89" s="35"/>
    </row>
    <row r="90" spans="1:20" x14ac:dyDescent="0.25">
      <c r="A90" s="35"/>
      <c r="B90" s="35"/>
      <c r="C90" s="163"/>
      <c r="D90" s="35"/>
      <c r="E90" s="35"/>
      <c r="F90" s="35"/>
      <c r="G90" s="35"/>
      <c r="H90" s="35"/>
      <c r="I90" s="35"/>
      <c r="J90" s="35"/>
      <c r="K90" s="35"/>
      <c r="L90" s="35"/>
      <c r="M90" s="35"/>
      <c r="N90" s="35"/>
      <c r="O90" s="35"/>
      <c r="P90" s="35"/>
      <c r="Q90" s="35"/>
      <c r="R90" s="35"/>
      <c r="S90" s="35"/>
      <c r="T90" s="35"/>
    </row>
  </sheetData>
  <mergeCells count="87">
    <mergeCell ref="C3:I3"/>
    <mergeCell ref="A32:B32"/>
    <mergeCell ref="C32:I32"/>
    <mergeCell ref="N49:O49"/>
    <mergeCell ref="N45:O45"/>
    <mergeCell ref="N41:O41"/>
    <mergeCell ref="N34:O34"/>
    <mergeCell ref="N20:O20"/>
    <mergeCell ref="A5:D5"/>
    <mergeCell ref="N16:O16"/>
    <mergeCell ref="N14:O14"/>
    <mergeCell ref="N12:O12"/>
    <mergeCell ref="N10:O10"/>
    <mergeCell ref="N8:O8"/>
    <mergeCell ref="P49:Q49"/>
    <mergeCell ref="N47:O47"/>
    <mergeCell ref="P47:Q47"/>
    <mergeCell ref="N48:O48"/>
    <mergeCell ref="P48:Q48"/>
    <mergeCell ref="P45:Q45"/>
    <mergeCell ref="N46:O46"/>
    <mergeCell ref="P46:Q46"/>
    <mergeCell ref="N43:O43"/>
    <mergeCell ref="P43:Q43"/>
    <mergeCell ref="N44:O44"/>
    <mergeCell ref="P44:Q44"/>
    <mergeCell ref="P41:Q41"/>
    <mergeCell ref="N42:O42"/>
    <mergeCell ref="P42:Q42"/>
    <mergeCell ref="P38:Q38"/>
    <mergeCell ref="N39:O39"/>
    <mergeCell ref="P39:Q39"/>
    <mergeCell ref="N40:O40"/>
    <mergeCell ref="P40:Q40"/>
    <mergeCell ref="P35:Q35"/>
    <mergeCell ref="N36:O36"/>
    <mergeCell ref="P36:Q36"/>
    <mergeCell ref="N37:O37"/>
    <mergeCell ref="P37:Q37"/>
    <mergeCell ref="Q3:S3"/>
    <mergeCell ref="Q32:S32"/>
    <mergeCell ref="B33:C33"/>
    <mergeCell ref="D33:E33"/>
    <mergeCell ref="N6:O6"/>
    <mergeCell ref="P5:Q5"/>
    <mergeCell ref="P6:Q6"/>
    <mergeCell ref="N5:O5"/>
    <mergeCell ref="N19:O19"/>
    <mergeCell ref="N17:O17"/>
    <mergeCell ref="N15:O15"/>
    <mergeCell ref="N13:O13"/>
    <mergeCell ref="N11:O11"/>
    <mergeCell ref="N9:O9"/>
    <mergeCell ref="N7:O7"/>
    <mergeCell ref="A3:B3"/>
    <mergeCell ref="P7:Q7"/>
    <mergeCell ref="P9:Q9"/>
    <mergeCell ref="P11:Q11"/>
    <mergeCell ref="P13:Q13"/>
    <mergeCell ref="P15:Q15"/>
    <mergeCell ref="P10:Q10"/>
    <mergeCell ref="P8:Q8"/>
    <mergeCell ref="U17:AI17"/>
    <mergeCell ref="U18:AI18"/>
    <mergeCell ref="A24:S25"/>
    <mergeCell ref="A30:S30"/>
    <mergeCell ref="P20:Q20"/>
    <mergeCell ref="P18:Q18"/>
    <mergeCell ref="P17:Q17"/>
    <mergeCell ref="N18:O18"/>
    <mergeCell ref="P19:Q19"/>
    <mergeCell ref="A1:S1"/>
    <mergeCell ref="N33:S33"/>
    <mergeCell ref="A34:D34"/>
    <mergeCell ref="A53:S54"/>
    <mergeCell ref="N38:O38"/>
    <mergeCell ref="F4:I4"/>
    <mergeCell ref="J4:M4"/>
    <mergeCell ref="N4:S4"/>
    <mergeCell ref="D4:E4"/>
    <mergeCell ref="P16:Q16"/>
    <mergeCell ref="P14:Q14"/>
    <mergeCell ref="P12:Q12"/>
    <mergeCell ref="F33:I33"/>
    <mergeCell ref="J33:M33"/>
    <mergeCell ref="P34:Q34"/>
    <mergeCell ref="N35:O35"/>
  </mergeCells>
  <pageMargins left="0.25" right="0.25" top="0.75" bottom="0.75" header="0.3" footer="0.3"/>
  <pageSetup scale="7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0000"/>
  </sheetPr>
  <dimension ref="A1:I624"/>
  <sheetViews>
    <sheetView showZeros="0" showWhiteSpace="0" zoomScaleNormal="100" workbookViewId="0">
      <selection activeCell="K4" sqref="K4"/>
    </sheetView>
  </sheetViews>
  <sheetFormatPr defaultColWidth="9.140625" defaultRowHeight="15" x14ac:dyDescent="0.25"/>
  <cols>
    <col min="1" max="1" width="2.85546875" bestFit="1" customWidth="1"/>
    <col min="2" max="2" width="11.140625" customWidth="1"/>
    <col min="3" max="3" width="24.42578125" customWidth="1"/>
    <col min="4" max="4" width="4.140625" customWidth="1"/>
    <col min="5" max="5" width="7.140625" customWidth="1"/>
    <col min="6" max="6" width="11" style="57" customWidth="1"/>
    <col min="7" max="7" width="24.42578125" style="60" customWidth="1"/>
    <col min="8" max="8" width="3.7109375" customWidth="1"/>
  </cols>
  <sheetData>
    <row r="1" spans="1:9" ht="15.75" thickBot="1" x14ac:dyDescent="0.3">
      <c r="A1" s="123" t="str">
        <f>'Blind List Entry'!A5</f>
        <v xml:space="preserve"> </v>
      </c>
      <c r="B1" s="113" t="s">
        <v>72</v>
      </c>
      <c r="C1" s="119">
        <f>'Blind List Entry'!B5</f>
        <v>0</v>
      </c>
      <c r="D1" s="114"/>
      <c r="E1" s="123" t="str">
        <f>A1</f>
        <v xml:space="preserve"> </v>
      </c>
      <c r="F1" s="124" t="s">
        <v>72</v>
      </c>
      <c r="G1" s="119">
        <f>C1</f>
        <v>0</v>
      </c>
      <c r="H1" s="114"/>
      <c r="I1" s="114"/>
    </row>
    <row r="2" spans="1:9" ht="15.75" thickBot="1" x14ac:dyDescent="0.3">
      <c r="A2" s="114"/>
      <c r="B2" s="113" t="s">
        <v>71</v>
      </c>
      <c r="C2" s="115"/>
      <c r="D2" s="114"/>
      <c r="E2" s="114"/>
      <c r="F2" s="124" t="s">
        <v>71</v>
      </c>
      <c r="G2" s="115"/>
      <c r="H2" s="114"/>
      <c r="I2" s="114"/>
    </row>
    <row r="3" spans="1:9" ht="15.75" thickBot="1" x14ac:dyDescent="0.3">
      <c r="A3" s="114"/>
      <c r="B3" s="113" t="s">
        <v>0</v>
      </c>
      <c r="C3" s="116">
        <f ca="1">TODAY()</f>
        <v>44621</v>
      </c>
      <c r="D3" s="114"/>
      <c r="E3" s="114"/>
      <c r="F3" s="124" t="s">
        <v>0</v>
      </c>
      <c r="G3" s="116">
        <f ca="1">TODAY()</f>
        <v>44621</v>
      </c>
      <c r="H3" s="114"/>
      <c r="I3" s="114"/>
    </row>
    <row r="4" spans="1:9" ht="23.85" customHeight="1" x14ac:dyDescent="0.25">
      <c r="A4" s="114"/>
      <c r="B4" s="114"/>
      <c r="C4" s="114"/>
      <c r="D4" s="114"/>
      <c r="E4" s="114"/>
      <c r="F4" s="124"/>
      <c r="G4" s="125"/>
      <c r="H4" s="114"/>
      <c r="I4" s="114"/>
    </row>
    <row r="5" spans="1:9" ht="15.75" thickBot="1" x14ac:dyDescent="0.3">
      <c r="A5" s="123" t="e">
        <f>A1+1</f>
        <v>#VALUE!</v>
      </c>
      <c r="B5" s="113" t="s">
        <v>72</v>
      </c>
      <c r="C5" s="119">
        <f>'Blind List Entry'!B6</f>
        <v>0</v>
      </c>
      <c r="D5" s="114"/>
      <c r="E5" s="123" t="e">
        <f>A5</f>
        <v>#VALUE!</v>
      </c>
      <c r="F5" s="124" t="s">
        <v>72</v>
      </c>
      <c r="G5" s="119">
        <f>C5</f>
        <v>0</v>
      </c>
      <c r="H5" s="114"/>
      <c r="I5" s="53"/>
    </row>
    <row r="6" spans="1:9" ht="15.75" thickBot="1" x14ac:dyDescent="0.3">
      <c r="A6" s="114"/>
      <c r="B6" s="113" t="s">
        <v>71</v>
      </c>
      <c r="C6" s="115"/>
      <c r="D6" s="114"/>
      <c r="E6" s="114"/>
      <c r="F6" s="124" t="s">
        <v>71</v>
      </c>
      <c r="G6" s="115"/>
      <c r="H6" s="114"/>
      <c r="I6" s="53"/>
    </row>
    <row r="7" spans="1:9" ht="15.75" thickBot="1" x14ac:dyDescent="0.3">
      <c r="A7" s="114"/>
      <c r="B7" s="113" t="s">
        <v>0</v>
      </c>
      <c r="C7" s="116">
        <f ca="1">TODAY()</f>
        <v>44621</v>
      </c>
      <c r="D7" s="114"/>
      <c r="E7" s="114"/>
      <c r="F7" s="124" t="s">
        <v>0</v>
      </c>
      <c r="G7" s="116">
        <f ca="1">TODAY()</f>
        <v>44621</v>
      </c>
      <c r="H7" s="114"/>
      <c r="I7" s="53"/>
    </row>
    <row r="8" spans="1:9" ht="27" customHeight="1" x14ac:dyDescent="0.25">
      <c r="A8" s="114"/>
      <c r="B8" s="114"/>
      <c r="C8" s="114"/>
      <c r="D8" s="114"/>
      <c r="E8" s="114"/>
      <c r="F8" s="124"/>
      <c r="G8" s="125"/>
      <c r="H8" s="114"/>
      <c r="I8" s="53"/>
    </row>
    <row r="9" spans="1:9" ht="15.75" thickBot="1" x14ac:dyDescent="0.3">
      <c r="A9" s="123" t="e">
        <f>A5+1</f>
        <v>#VALUE!</v>
      </c>
      <c r="B9" s="113" t="s">
        <v>72</v>
      </c>
      <c r="C9" s="119">
        <f>'Blind List Entry'!B7</f>
        <v>0</v>
      </c>
      <c r="D9" s="114"/>
      <c r="E9" s="123" t="e">
        <f>A9</f>
        <v>#VALUE!</v>
      </c>
      <c r="F9" s="124" t="s">
        <v>72</v>
      </c>
      <c r="G9" s="119">
        <f>C9</f>
        <v>0</v>
      </c>
      <c r="H9" s="114"/>
      <c r="I9" s="53"/>
    </row>
    <row r="10" spans="1:9" ht="15.75" thickBot="1" x14ac:dyDescent="0.3">
      <c r="A10" s="114"/>
      <c r="B10" s="113" t="s">
        <v>71</v>
      </c>
      <c r="C10" s="115"/>
      <c r="D10" s="114"/>
      <c r="E10" s="114"/>
      <c r="F10" s="124" t="s">
        <v>71</v>
      </c>
      <c r="G10" s="115"/>
      <c r="H10" s="114"/>
      <c r="I10" s="53"/>
    </row>
    <row r="11" spans="1:9" ht="15.75" thickBot="1" x14ac:dyDescent="0.3">
      <c r="A11" s="114"/>
      <c r="B11" s="113" t="s">
        <v>0</v>
      </c>
      <c r="C11" s="116">
        <f ca="1">TODAY()</f>
        <v>44621</v>
      </c>
      <c r="D11" s="114"/>
      <c r="E11" s="114"/>
      <c r="F11" s="124" t="s">
        <v>0</v>
      </c>
      <c r="G11" s="116">
        <f ca="1">TODAY()</f>
        <v>44621</v>
      </c>
      <c r="H11" s="114"/>
      <c r="I11" s="53"/>
    </row>
    <row r="12" spans="1:9" ht="23.85" customHeight="1" x14ac:dyDescent="0.25">
      <c r="A12" s="114"/>
      <c r="B12" s="114"/>
      <c r="C12" s="114"/>
      <c r="D12" s="114"/>
      <c r="E12" s="114"/>
      <c r="F12" s="124"/>
      <c r="G12" s="125"/>
      <c r="H12" s="114"/>
      <c r="I12" s="53"/>
    </row>
    <row r="13" spans="1:9" ht="15.75" thickBot="1" x14ac:dyDescent="0.3">
      <c r="A13" s="123" t="e">
        <f>A9+1</f>
        <v>#VALUE!</v>
      </c>
      <c r="B13" s="113" t="s">
        <v>72</v>
      </c>
      <c r="C13" s="119">
        <f>'Blind List Entry'!B8</f>
        <v>0</v>
      </c>
      <c r="D13" s="114"/>
      <c r="E13" s="123" t="e">
        <f>A13</f>
        <v>#VALUE!</v>
      </c>
      <c r="F13" s="124" t="s">
        <v>72</v>
      </c>
      <c r="G13" s="119">
        <f>C13</f>
        <v>0</v>
      </c>
      <c r="H13" s="114"/>
      <c r="I13" s="53"/>
    </row>
    <row r="14" spans="1:9" ht="15.75" thickBot="1" x14ac:dyDescent="0.3">
      <c r="A14" s="114"/>
      <c r="B14" s="113" t="s">
        <v>71</v>
      </c>
      <c r="C14" s="115"/>
      <c r="D14" s="114"/>
      <c r="E14" s="114"/>
      <c r="F14" s="124" t="s">
        <v>71</v>
      </c>
      <c r="G14" s="115"/>
      <c r="H14" s="114"/>
      <c r="I14" s="53"/>
    </row>
    <row r="15" spans="1:9" ht="15.75" thickBot="1" x14ac:dyDescent="0.3">
      <c r="A15" s="114"/>
      <c r="B15" s="113" t="s">
        <v>0</v>
      </c>
      <c r="C15" s="116">
        <f ca="1">TODAY()</f>
        <v>44621</v>
      </c>
      <c r="D15" s="114"/>
      <c r="E15" s="114"/>
      <c r="F15" s="124" t="s">
        <v>0</v>
      </c>
      <c r="G15" s="116">
        <f ca="1">TODAY()</f>
        <v>44621</v>
      </c>
      <c r="H15" s="114"/>
      <c r="I15" s="53"/>
    </row>
    <row r="16" spans="1:9" ht="23.85" customHeight="1" x14ac:dyDescent="0.25">
      <c r="A16" s="114"/>
      <c r="B16" s="114"/>
      <c r="C16" s="114"/>
      <c r="D16" s="114"/>
      <c r="E16" s="114"/>
      <c r="F16" s="124"/>
      <c r="G16" s="125"/>
      <c r="H16" s="114"/>
      <c r="I16" s="53"/>
    </row>
    <row r="17" spans="1:9" ht="15.75" thickBot="1" x14ac:dyDescent="0.3">
      <c r="A17" s="123" t="e">
        <f>A13+1</f>
        <v>#VALUE!</v>
      </c>
      <c r="B17" s="113" t="s">
        <v>72</v>
      </c>
      <c r="C17" s="119">
        <f>'Blind List Entry'!B9</f>
        <v>0</v>
      </c>
      <c r="D17" s="114"/>
      <c r="E17" s="123" t="e">
        <f>A17</f>
        <v>#VALUE!</v>
      </c>
      <c r="F17" s="124" t="s">
        <v>72</v>
      </c>
      <c r="G17" s="119">
        <f>C17</f>
        <v>0</v>
      </c>
      <c r="H17" s="114"/>
      <c r="I17" s="53"/>
    </row>
    <row r="18" spans="1:9" ht="15.75" thickBot="1" x14ac:dyDescent="0.3">
      <c r="A18" s="114"/>
      <c r="B18" s="113" t="s">
        <v>71</v>
      </c>
      <c r="C18" s="119"/>
      <c r="D18" s="114"/>
      <c r="E18" s="114"/>
      <c r="F18" s="124" t="s">
        <v>71</v>
      </c>
      <c r="G18" s="115"/>
      <c r="H18" s="114"/>
      <c r="I18" s="53"/>
    </row>
    <row r="19" spans="1:9" ht="15.75" thickBot="1" x14ac:dyDescent="0.3">
      <c r="A19" s="114"/>
      <c r="B19" s="113" t="s">
        <v>0</v>
      </c>
      <c r="C19" s="116">
        <f ca="1">TODAY()</f>
        <v>44621</v>
      </c>
      <c r="D19" s="114"/>
      <c r="E19" s="114"/>
      <c r="F19" s="124" t="s">
        <v>0</v>
      </c>
      <c r="G19" s="116">
        <f ca="1">TODAY()</f>
        <v>44621</v>
      </c>
      <c r="H19" s="114"/>
      <c r="I19" s="53"/>
    </row>
    <row r="20" spans="1:9" ht="24.75" customHeight="1" x14ac:dyDescent="0.25">
      <c r="A20" s="114"/>
      <c r="B20" s="114"/>
      <c r="C20" s="114"/>
      <c r="D20" s="114"/>
      <c r="E20" s="114"/>
      <c r="F20" s="124"/>
      <c r="G20" s="125"/>
      <c r="H20" s="114"/>
      <c r="I20" s="53"/>
    </row>
    <row r="21" spans="1:9" ht="15.75" thickBot="1" x14ac:dyDescent="0.3">
      <c r="A21" s="123" t="e">
        <f>A17+1</f>
        <v>#VALUE!</v>
      </c>
      <c r="B21" s="113" t="s">
        <v>72</v>
      </c>
      <c r="C21" s="119">
        <f>'Blind List Entry'!B10</f>
        <v>0</v>
      </c>
      <c r="D21" s="114"/>
      <c r="E21" s="123" t="e">
        <f>A21</f>
        <v>#VALUE!</v>
      </c>
      <c r="F21" s="124" t="s">
        <v>72</v>
      </c>
      <c r="G21" s="119">
        <f>C21</f>
        <v>0</v>
      </c>
      <c r="H21" s="114"/>
      <c r="I21" s="53"/>
    </row>
    <row r="22" spans="1:9" ht="15.75" thickBot="1" x14ac:dyDescent="0.3">
      <c r="A22" s="114"/>
      <c r="B22" s="113" t="s">
        <v>71</v>
      </c>
      <c r="C22" s="115"/>
      <c r="D22" s="114"/>
      <c r="E22" s="114"/>
      <c r="F22" s="124" t="s">
        <v>71</v>
      </c>
      <c r="G22" s="115"/>
      <c r="H22" s="114"/>
      <c r="I22" s="53"/>
    </row>
    <row r="23" spans="1:9" ht="15.75" thickBot="1" x14ac:dyDescent="0.3">
      <c r="A23" s="114"/>
      <c r="B23" s="113" t="s">
        <v>0</v>
      </c>
      <c r="C23" s="116">
        <f ca="1">TODAY()</f>
        <v>44621</v>
      </c>
      <c r="D23" s="114"/>
      <c r="E23" s="114"/>
      <c r="F23" s="124" t="s">
        <v>0</v>
      </c>
      <c r="G23" s="116">
        <f ca="1">TODAY()</f>
        <v>44621</v>
      </c>
      <c r="H23" s="114"/>
      <c r="I23" s="53"/>
    </row>
    <row r="24" spans="1:9" ht="24.75" customHeight="1" x14ac:dyDescent="0.25">
      <c r="A24" s="114"/>
      <c r="B24" s="114"/>
      <c r="C24" s="114"/>
      <c r="D24" s="114"/>
      <c r="E24" s="114"/>
      <c r="F24" s="124"/>
      <c r="G24" s="125"/>
      <c r="H24" s="114"/>
      <c r="I24" s="53"/>
    </row>
    <row r="25" spans="1:9" ht="15.75" thickBot="1" x14ac:dyDescent="0.3">
      <c r="A25" s="123" t="e">
        <f>A21+1</f>
        <v>#VALUE!</v>
      </c>
      <c r="B25" s="113" t="s">
        <v>72</v>
      </c>
      <c r="C25" s="119">
        <f>'Blind List Entry'!B11</f>
        <v>0</v>
      </c>
      <c r="D25" s="114"/>
      <c r="E25" s="123" t="e">
        <f>A25</f>
        <v>#VALUE!</v>
      </c>
      <c r="F25" s="124" t="s">
        <v>72</v>
      </c>
      <c r="G25" s="119">
        <f>C25</f>
        <v>0</v>
      </c>
      <c r="H25" s="114"/>
      <c r="I25" s="53"/>
    </row>
    <row r="26" spans="1:9" ht="15.75" thickBot="1" x14ac:dyDescent="0.3">
      <c r="A26" s="114"/>
      <c r="B26" s="113" t="s">
        <v>71</v>
      </c>
      <c r="C26" s="115"/>
      <c r="D26" s="114"/>
      <c r="E26" s="114"/>
      <c r="F26" s="124" t="s">
        <v>71</v>
      </c>
      <c r="G26" s="115"/>
      <c r="H26" s="114"/>
      <c r="I26" s="53"/>
    </row>
    <row r="27" spans="1:9" ht="15.75" thickBot="1" x14ac:dyDescent="0.3">
      <c r="A27" s="114"/>
      <c r="B27" s="113" t="s">
        <v>0</v>
      </c>
      <c r="C27" s="116">
        <f ca="1">TODAY()</f>
        <v>44621</v>
      </c>
      <c r="D27" s="114"/>
      <c r="E27" s="114"/>
      <c r="F27" s="124" t="s">
        <v>0</v>
      </c>
      <c r="G27" s="116">
        <f ca="1">TODAY()</f>
        <v>44621</v>
      </c>
      <c r="H27" s="114"/>
      <c r="I27" s="53"/>
    </row>
    <row r="28" spans="1:9" ht="26.25" customHeight="1" x14ac:dyDescent="0.25">
      <c r="A28" s="114"/>
      <c r="B28" s="114"/>
      <c r="C28" s="114"/>
      <c r="D28" s="114"/>
      <c r="E28" s="114"/>
      <c r="F28" s="124"/>
      <c r="G28" s="125"/>
      <c r="H28" s="114"/>
      <c r="I28" s="53"/>
    </row>
    <row r="29" spans="1:9" ht="15.75" thickBot="1" x14ac:dyDescent="0.3">
      <c r="A29" s="123" t="e">
        <f>A25+1</f>
        <v>#VALUE!</v>
      </c>
      <c r="B29" s="113" t="s">
        <v>72</v>
      </c>
      <c r="C29" s="119">
        <f>'Blind List Entry'!B12</f>
        <v>0</v>
      </c>
      <c r="D29" s="114"/>
      <c r="E29" s="123" t="e">
        <f>A29</f>
        <v>#VALUE!</v>
      </c>
      <c r="F29" s="124" t="s">
        <v>72</v>
      </c>
      <c r="G29" s="119">
        <f>C29</f>
        <v>0</v>
      </c>
      <c r="H29" s="114"/>
      <c r="I29" s="53"/>
    </row>
    <row r="30" spans="1:9" ht="15.75" thickBot="1" x14ac:dyDescent="0.3">
      <c r="A30" s="114"/>
      <c r="B30" s="113" t="s">
        <v>71</v>
      </c>
      <c r="C30" s="115"/>
      <c r="D30" s="114"/>
      <c r="E30" s="114"/>
      <c r="F30" s="124" t="s">
        <v>71</v>
      </c>
      <c r="G30" s="115"/>
      <c r="H30" s="114"/>
      <c r="I30" s="53"/>
    </row>
    <row r="31" spans="1:9" ht="15.75" thickBot="1" x14ac:dyDescent="0.3">
      <c r="A31" s="114"/>
      <c r="B31" s="113" t="s">
        <v>0</v>
      </c>
      <c r="C31" s="116">
        <f ca="1">TODAY()</f>
        <v>44621</v>
      </c>
      <c r="D31" s="114"/>
      <c r="E31" s="114"/>
      <c r="F31" s="124" t="s">
        <v>0</v>
      </c>
      <c r="G31" s="116">
        <f ca="1">TODAY()</f>
        <v>44621</v>
      </c>
      <c r="H31" s="114"/>
      <c r="I31" s="53"/>
    </row>
    <row r="32" spans="1:9" ht="27.75" customHeight="1" x14ac:dyDescent="0.25">
      <c r="A32" s="114"/>
      <c r="B32" s="114"/>
      <c r="C32" s="114"/>
      <c r="D32" s="114"/>
      <c r="E32" s="114"/>
      <c r="F32" s="124"/>
      <c r="G32" s="125"/>
      <c r="H32" s="114"/>
      <c r="I32" s="53"/>
    </row>
    <row r="33" spans="1:9" ht="15.75" thickBot="1" x14ac:dyDescent="0.3">
      <c r="A33" s="123" t="e">
        <f>A29+1</f>
        <v>#VALUE!</v>
      </c>
      <c r="B33" s="113" t="s">
        <v>72</v>
      </c>
      <c r="C33" s="119">
        <f>'Blind List Entry'!B13</f>
        <v>0</v>
      </c>
      <c r="D33" s="114"/>
      <c r="E33" s="123" t="e">
        <f>A33</f>
        <v>#VALUE!</v>
      </c>
      <c r="F33" s="124" t="s">
        <v>72</v>
      </c>
      <c r="G33" s="119">
        <f>C33</f>
        <v>0</v>
      </c>
      <c r="H33" s="114"/>
      <c r="I33" s="53"/>
    </row>
    <row r="34" spans="1:9" ht="15.75" thickBot="1" x14ac:dyDescent="0.3">
      <c r="A34" s="114"/>
      <c r="B34" s="113" t="s">
        <v>71</v>
      </c>
      <c r="C34" s="115"/>
      <c r="D34" s="114"/>
      <c r="E34" s="114"/>
      <c r="F34" s="124" t="s">
        <v>71</v>
      </c>
      <c r="G34" s="115"/>
      <c r="H34" s="114"/>
      <c r="I34" s="53"/>
    </row>
    <row r="35" spans="1:9" ht="15.75" thickBot="1" x14ac:dyDescent="0.3">
      <c r="A35" s="114"/>
      <c r="B35" s="113" t="s">
        <v>0</v>
      </c>
      <c r="C35" s="116">
        <f ca="1">TODAY()</f>
        <v>44621</v>
      </c>
      <c r="D35" s="114"/>
      <c r="E35" s="114"/>
      <c r="F35" s="124" t="s">
        <v>0</v>
      </c>
      <c r="G35" s="116">
        <f ca="1">TODAY()</f>
        <v>44621</v>
      </c>
      <c r="H35" s="114"/>
      <c r="I35" s="53"/>
    </row>
    <row r="36" spans="1:9" ht="30.75" customHeight="1" x14ac:dyDescent="0.25">
      <c r="A36" s="114"/>
      <c r="B36" s="113"/>
      <c r="C36" s="118"/>
      <c r="D36" s="114"/>
      <c r="E36" s="114"/>
      <c r="F36" s="124"/>
      <c r="G36" s="118"/>
      <c r="H36" s="114"/>
      <c r="I36" s="53"/>
    </row>
    <row r="37" spans="1:9" ht="15.75" thickBot="1" x14ac:dyDescent="0.3">
      <c r="A37" s="123" t="e">
        <f>A33+1</f>
        <v>#VALUE!</v>
      </c>
      <c r="B37" s="113" t="s">
        <v>72</v>
      </c>
      <c r="C37" s="119">
        <f>'Blind List Entry'!B14</f>
        <v>0</v>
      </c>
      <c r="D37" s="114"/>
      <c r="E37" s="123" t="e">
        <f>A37</f>
        <v>#VALUE!</v>
      </c>
      <c r="F37" s="124" t="s">
        <v>72</v>
      </c>
      <c r="G37" s="119">
        <f>C37</f>
        <v>0</v>
      </c>
      <c r="H37" s="114"/>
      <c r="I37" s="53"/>
    </row>
    <row r="38" spans="1:9" ht="15.75" thickBot="1" x14ac:dyDescent="0.3">
      <c r="A38" s="114"/>
      <c r="B38" s="113" t="s">
        <v>71</v>
      </c>
      <c r="C38" s="115"/>
      <c r="D38" s="114"/>
      <c r="E38" s="114"/>
      <c r="F38" s="124" t="s">
        <v>71</v>
      </c>
      <c r="G38" s="115"/>
      <c r="H38" s="114"/>
      <c r="I38" s="53"/>
    </row>
    <row r="39" spans="1:9" ht="15.75" thickBot="1" x14ac:dyDescent="0.3">
      <c r="A39" s="114"/>
      <c r="B39" s="113" t="s">
        <v>0</v>
      </c>
      <c r="C39" s="116">
        <f ca="1">TODAY()</f>
        <v>44621</v>
      </c>
      <c r="D39" s="114"/>
      <c r="E39" s="114"/>
      <c r="F39" s="124" t="s">
        <v>0</v>
      </c>
      <c r="G39" s="116">
        <f ca="1">TODAY()</f>
        <v>44621</v>
      </c>
      <c r="H39" s="114"/>
      <c r="I39" s="53"/>
    </row>
    <row r="40" spans="1:9" ht="13.5" customHeight="1" thickBot="1" x14ac:dyDescent="0.3">
      <c r="A40" s="123" t="e">
        <f>A37+1</f>
        <v>#VALUE!</v>
      </c>
      <c r="B40" s="113" t="s">
        <v>72</v>
      </c>
      <c r="C40" s="115">
        <f>'Blind List Entry'!B15</f>
        <v>0</v>
      </c>
      <c r="D40" s="114"/>
      <c r="E40" s="123" t="e">
        <f>A40</f>
        <v>#VALUE!</v>
      </c>
      <c r="F40" s="124" t="s">
        <v>72</v>
      </c>
      <c r="G40" s="119">
        <f>C40</f>
        <v>0</v>
      </c>
      <c r="H40" s="114"/>
      <c r="I40" s="53"/>
    </row>
    <row r="41" spans="1:9" ht="15.75" thickBot="1" x14ac:dyDescent="0.3">
      <c r="A41" s="114"/>
      <c r="B41" s="113" t="s">
        <v>71</v>
      </c>
      <c r="C41" s="115"/>
      <c r="D41" s="114"/>
      <c r="E41" s="114"/>
      <c r="F41" s="124" t="s">
        <v>71</v>
      </c>
      <c r="G41" s="115"/>
      <c r="H41" s="114"/>
      <c r="I41" s="53"/>
    </row>
    <row r="42" spans="1:9" ht="15.75" thickBot="1" x14ac:dyDescent="0.3">
      <c r="A42" s="114"/>
      <c r="B42" s="113" t="s">
        <v>0</v>
      </c>
      <c r="C42" s="116">
        <f ca="1">TODAY()</f>
        <v>44621</v>
      </c>
      <c r="D42" s="114"/>
      <c r="E42" s="114"/>
      <c r="F42" s="124" t="s">
        <v>0</v>
      </c>
      <c r="G42" s="116">
        <f ca="1">TODAY()</f>
        <v>44621</v>
      </c>
      <c r="H42" s="114"/>
      <c r="I42" s="53"/>
    </row>
    <row r="43" spans="1:9" ht="23.1" customHeight="1" x14ac:dyDescent="0.25">
      <c r="A43" s="114"/>
      <c r="B43" s="114"/>
      <c r="C43" s="114"/>
      <c r="D43" s="114"/>
      <c r="E43" s="114"/>
      <c r="F43" s="124"/>
      <c r="G43" s="125"/>
      <c r="H43" s="114"/>
      <c r="I43" s="53"/>
    </row>
    <row r="44" spans="1:9" ht="15.75" thickBot="1" x14ac:dyDescent="0.3">
      <c r="A44" s="123" t="e">
        <f>A40+1</f>
        <v>#VALUE!</v>
      </c>
      <c r="B44" s="113" t="s">
        <v>72</v>
      </c>
      <c r="C44" s="119">
        <f>'Blind List Entry'!B16</f>
        <v>0</v>
      </c>
      <c r="D44" s="114"/>
      <c r="E44" s="123" t="e">
        <f>A44</f>
        <v>#VALUE!</v>
      </c>
      <c r="F44" s="124" t="s">
        <v>72</v>
      </c>
      <c r="G44" s="119">
        <f>C44</f>
        <v>0</v>
      </c>
      <c r="H44" s="114"/>
      <c r="I44" s="53"/>
    </row>
    <row r="45" spans="1:9" ht="15.75" thickBot="1" x14ac:dyDescent="0.3">
      <c r="A45" s="114"/>
      <c r="B45" s="113" t="s">
        <v>71</v>
      </c>
      <c r="C45" s="115"/>
      <c r="D45" s="114"/>
      <c r="E45" s="114"/>
      <c r="F45" s="124" t="s">
        <v>71</v>
      </c>
      <c r="G45" s="115"/>
      <c r="H45" s="114"/>
      <c r="I45" s="53"/>
    </row>
    <row r="46" spans="1:9" ht="15.75" thickBot="1" x14ac:dyDescent="0.3">
      <c r="A46" s="114"/>
      <c r="B46" s="113" t="s">
        <v>0</v>
      </c>
      <c r="C46" s="116">
        <f ca="1">TODAY()</f>
        <v>44621</v>
      </c>
      <c r="D46" s="114"/>
      <c r="E46" s="114"/>
      <c r="F46" s="124" t="s">
        <v>0</v>
      </c>
      <c r="G46" s="116">
        <f ca="1">TODAY()</f>
        <v>44621</v>
      </c>
      <c r="H46" s="114"/>
      <c r="I46" s="53"/>
    </row>
    <row r="47" spans="1:9" ht="23.1" customHeight="1" x14ac:dyDescent="0.25">
      <c r="A47" s="114"/>
      <c r="B47" s="114"/>
      <c r="C47" s="114"/>
      <c r="D47" s="114"/>
      <c r="E47" s="114"/>
      <c r="F47" s="124"/>
      <c r="G47" s="125"/>
      <c r="H47" s="114"/>
      <c r="I47" s="53"/>
    </row>
    <row r="48" spans="1:9" ht="15.75" thickBot="1" x14ac:dyDescent="0.3">
      <c r="A48" s="123" t="e">
        <f>A44+1</f>
        <v>#VALUE!</v>
      </c>
      <c r="B48" s="113" t="s">
        <v>72</v>
      </c>
      <c r="C48" s="119">
        <f>'Blind List Entry'!B17</f>
        <v>0</v>
      </c>
      <c r="D48" s="114"/>
      <c r="E48" s="123" t="e">
        <f>A48</f>
        <v>#VALUE!</v>
      </c>
      <c r="F48" s="124" t="s">
        <v>72</v>
      </c>
      <c r="G48" s="119">
        <f>C48</f>
        <v>0</v>
      </c>
      <c r="H48" s="114"/>
      <c r="I48" s="53"/>
    </row>
    <row r="49" spans="1:9" ht="15.75" thickBot="1" x14ac:dyDescent="0.3">
      <c r="A49" s="114"/>
      <c r="B49" s="113" t="s">
        <v>71</v>
      </c>
      <c r="C49" s="115"/>
      <c r="D49" s="114"/>
      <c r="E49" s="114"/>
      <c r="F49" s="124" t="s">
        <v>71</v>
      </c>
      <c r="G49" s="115"/>
      <c r="H49" s="114"/>
      <c r="I49" s="53"/>
    </row>
    <row r="50" spans="1:9" ht="15.75" thickBot="1" x14ac:dyDescent="0.3">
      <c r="A50" s="114"/>
      <c r="B50" s="113" t="s">
        <v>0</v>
      </c>
      <c r="C50" s="116">
        <f ca="1">TODAY()</f>
        <v>44621</v>
      </c>
      <c r="D50" s="114"/>
      <c r="E50" s="114"/>
      <c r="F50" s="124" t="s">
        <v>0</v>
      </c>
      <c r="G50" s="116">
        <f ca="1">TODAY()</f>
        <v>44621</v>
      </c>
      <c r="H50" s="114"/>
      <c r="I50" s="53"/>
    </row>
    <row r="51" spans="1:9" ht="23.1" customHeight="1" x14ac:dyDescent="0.25">
      <c r="A51" s="114"/>
      <c r="B51" s="114"/>
      <c r="C51" s="114"/>
      <c r="D51" s="114"/>
      <c r="E51" s="114"/>
      <c r="F51" s="124"/>
      <c r="G51" s="125"/>
      <c r="H51" s="114"/>
      <c r="I51" s="53"/>
    </row>
    <row r="52" spans="1:9" ht="15.75" thickBot="1" x14ac:dyDescent="0.3">
      <c r="A52" s="123" t="e">
        <f>A48+1</f>
        <v>#VALUE!</v>
      </c>
      <c r="B52" s="113" t="s">
        <v>72</v>
      </c>
      <c r="C52" s="119">
        <f>'Blind List Entry'!B18</f>
        <v>0</v>
      </c>
      <c r="D52" s="114"/>
      <c r="E52" s="123" t="e">
        <f>A52</f>
        <v>#VALUE!</v>
      </c>
      <c r="F52" s="124" t="s">
        <v>72</v>
      </c>
      <c r="G52" s="119">
        <f>C52</f>
        <v>0</v>
      </c>
      <c r="H52" s="114"/>
      <c r="I52" s="53"/>
    </row>
    <row r="53" spans="1:9" ht="15.75" thickBot="1" x14ac:dyDescent="0.3">
      <c r="A53" s="114"/>
      <c r="B53" s="113" t="s">
        <v>71</v>
      </c>
      <c r="C53" s="115"/>
      <c r="D53" s="114"/>
      <c r="E53" s="114"/>
      <c r="F53" s="124" t="s">
        <v>71</v>
      </c>
      <c r="G53" s="115"/>
      <c r="H53" s="114"/>
      <c r="I53" s="53"/>
    </row>
    <row r="54" spans="1:9" ht="15.75" thickBot="1" x14ac:dyDescent="0.3">
      <c r="A54" s="114"/>
      <c r="B54" s="113" t="s">
        <v>0</v>
      </c>
      <c r="C54" s="116">
        <f ca="1">TODAY()</f>
        <v>44621</v>
      </c>
      <c r="D54" s="114"/>
      <c r="E54" s="114"/>
      <c r="F54" s="124" t="s">
        <v>0</v>
      </c>
      <c r="G54" s="116">
        <f ca="1">TODAY()</f>
        <v>44621</v>
      </c>
      <c r="H54" s="114"/>
      <c r="I54" s="53"/>
    </row>
    <row r="55" spans="1:9" ht="23.1" customHeight="1" x14ac:dyDescent="0.25">
      <c r="A55" s="114"/>
      <c r="B55" s="114"/>
      <c r="C55" s="114"/>
      <c r="D55" s="114"/>
      <c r="E55" s="114"/>
      <c r="F55" s="124"/>
      <c r="G55" s="125"/>
      <c r="H55" s="114"/>
      <c r="I55" s="53"/>
    </row>
    <row r="56" spans="1:9" ht="15.75" thickBot="1" x14ac:dyDescent="0.3">
      <c r="A56" s="123" t="e">
        <f>A52+1</f>
        <v>#VALUE!</v>
      </c>
      <c r="B56" s="113" t="s">
        <v>72</v>
      </c>
      <c r="C56" s="119">
        <f>'Blind List Entry'!B19</f>
        <v>0</v>
      </c>
      <c r="D56" s="114"/>
      <c r="E56" s="123" t="e">
        <f>A56</f>
        <v>#VALUE!</v>
      </c>
      <c r="F56" s="124" t="s">
        <v>72</v>
      </c>
      <c r="G56" s="119">
        <f>C56</f>
        <v>0</v>
      </c>
      <c r="H56" s="114"/>
      <c r="I56" s="53"/>
    </row>
    <row r="57" spans="1:9" ht="15.75" thickBot="1" x14ac:dyDescent="0.3">
      <c r="A57" s="114"/>
      <c r="B57" s="113" t="s">
        <v>71</v>
      </c>
      <c r="C57" s="115"/>
      <c r="D57" s="114"/>
      <c r="E57" s="114"/>
      <c r="F57" s="124" t="s">
        <v>71</v>
      </c>
      <c r="G57" s="115"/>
      <c r="H57" s="114"/>
      <c r="I57" s="53"/>
    </row>
    <row r="58" spans="1:9" ht="15.75" thickBot="1" x14ac:dyDescent="0.3">
      <c r="A58" s="114"/>
      <c r="B58" s="113" t="s">
        <v>0</v>
      </c>
      <c r="C58" s="116">
        <f ca="1">TODAY()</f>
        <v>44621</v>
      </c>
      <c r="D58" s="114"/>
      <c r="E58" s="114"/>
      <c r="F58" s="124" t="s">
        <v>0</v>
      </c>
      <c r="G58" s="116">
        <f ca="1">TODAY()</f>
        <v>44621</v>
      </c>
      <c r="H58" s="114"/>
      <c r="I58" s="53"/>
    </row>
    <row r="59" spans="1:9" ht="29.25" customHeight="1" x14ac:dyDescent="0.25">
      <c r="A59" s="114"/>
      <c r="B59" s="114"/>
      <c r="C59" s="114"/>
      <c r="D59" s="114"/>
      <c r="E59" s="114"/>
      <c r="F59" s="124"/>
      <c r="G59" s="125"/>
      <c r="H59" s="114"/>
      <c r="I59" s="53"/>
    </row>
    <row r="60" spans="1:9" ht="15.75" thickBot="1" x14ac:dyDescent="0.3">
      <c r="A60" s="123" t="e">
        <f>A56+1</f>
        <v>#VALUE!</v>
      </c>
      <c r="B60" s="113" t="s">
        <v>72</v>
      </c>
      <c r="C60" s="119">
        <f>'Blind List Entry'!B20</f>
        <v>0</v>
      </c>
      <c r="D60" s="114"/>
      <c r="E60" s="123" t="e">
        <f>A60</f>
        <v>#VALUE!</v>
      </c>
      <c r="F60" s="124" t="s">
        <v>72</v>
      </c>
      <c r="G60" s="119">
        <f>C60</f>
        <v>0</v>
      </c>
      <c r="H60" s="114"/>
      <c r="I60" s="53"/>
    </row>
    <row r="61" spans="1:9" ht="15.75" thickBot="1" x14ac:dyDescent="0.3">
      <c r="A61" s="114"/>
      <c r="B61" s="113" t="s">
        <v>71</v>
      </c>
      <c r="C61" s="115"/>
      <c r="D61" s="114"/>
      <c r="E61" s="114"/>
      <c r="F61" s="124" t="s">
        <v>71</v>
      </c>
      <c r="G61" s="115"/>
      <c r="H61" s="114"/>
      <c r="I61" s="53"/>
    </row>
    <row r="62" spans="1:9" ht="15.75" thickBot="1" x14ac:dyDescent="0.3">
      <c r="A62" s="114"/>
      <c r="B62" s="113" t="s">
        <v>0</v>
      </c>
      <c r="C62" s="116">
        <f ca="1">TODAY()</f>
        <v>44621</v>
      </c>
      <c r="D62" s="114"/>
      <c r="E62" s="114"/>
      <c r="F62" s="124" t="s">
        <v>0</v>
      </c>
      <c r="G62" s="116">
        <f ca="1">TODAY()</f>
        <v>44621</v>
      </c>
      <c r="H62" s="114"/>
      <c r="I62" s="53"/>
    </row>
    <row r="63" spans="1:9" ht="29.25" customHeight="1" x14ac:dyDescent="0.25">
      <c r="A63" s="114"/>
      <c r="B63" s="114"/>
      <c r="C63" s="114"/>
      <c r="D63" s="114"/>
      <c r="E63" s="114"/>
      <c r="F63" s="124"/>
      <c r="G63" s="125"/>
      <c r="H63" s="114"/>
      <c r="I63" s="53"/>
    </row>
    <row r="64" spans="1:9" ht="15.75" thickBot="1" x14ac:dyDescent="0.3">
      <c r="A64" s="123" t="e">
        <f>A60+1</f>
        <v>#VALUE!</v>
      </c>
      <c r="B64" s="113" t="s">
        <v>72</v>
      </c>
      <c r="C64" s="119">
        <f>'Blind List Entry'!B21</f>
        <v>0</v>
      </c>
      <c r="D64" s="114"/>
      <c r="E64" s="123" t="e">
        <f>A64</f>
        <v>#VALUE!</v>
      </c>
      <c r="F64" s="124" t="s">
        <v>72</v>
      </c>
      <c r="G64" s="119">
        <f>C64</f>
        <v>0</v>
      </c>
      <c r="H64" s="114"/>
      <c r="I64" s="53"/>
    </row>
    <row r="65" spans="1:9" ht="15.75" thickBot="1" x14ac:dyDescent="0.3">
      <c r="A65" s="114"/>
      <c r="B65" s="113" t="s">
        <v>71</v>
      </c>
      <c r="C65" s="115"/>
      <c r="D65" s="114"/>
      <c r="E65" s="114"/>
      <c r="F65" s="124" t="s">
        <v>71</v>
      </c>
      <c r="G65" s="115"/>
      <c r="H65" s="114"/>
      <c r="I65" s="53"/>
    </row>
    <row r="66" spans="1:9" ht="16.5" customHeight="1" thickBot="1" x14ac:dyDescent="0.3">
      <c r="A66" s="114"/>
      <c r="B66" s="113" t="s">
        <v>0</v>
      </c>
      <c r="C66" s="116">
        <f ca="1">TODAY()</f>
        <v>44621</v>
      </c>
      <c r="D66" s="114"/>
      <c r="E66" s="114"/>
      <c r="F66" s="124" t="s">
        <v>0</v>
      </c>
      <c r="G66" s="116">
        <f ca="1">TODAY()</f>
        <v>44621</v>
      </c>
      <c r="H66" s="114"/>
      <c r="I66" s="53"/>
    </row>
    <row r="67" spans="1:9" ht="27" customHeight="1" x14ac:dyDescent="0.25">
      <c r="A67" s="114"/>
      <c r="B67" s="114"/>
      <c r="C67" s="114"/>
      <c r="D67" s="114"/>
      <c r="E67" s="114"/>
      <c r="F67" s="124"/>
      <c r="G67" s="125"/>
      <c r="H67" s="114"/>
      <c r="I67" s="53"/>
    </row>
    <row r="68" spans="1:9" ht="15.75" thickBot="1" x14ac:dyDescent="0.3">
      <c r="A68" s="123" t="e">
        <f>A64+1</f>
        <v>#VALUE!</v>
      </c>
      <c r="B68" s="113" t="s">
        <v>72</v>
      </c>
      <c r="C68" s="119">
        <f>'Blind List Entry'!B22</f>
        <v>0</v>
      </c>
      <c r="D68" s="114"/>
      <c r="E68" s="123" t="e">
        <f>A68</f>
        <v>#VALUE!</v>
      </c>
      <c r="F68" s="124" t="s">
        <v>72</v>
      </c>
      <c r="G68" s="119">
        <f>C68</f>
        <v>0</v>
      </c>
      <c r="H68" s="114"/>
      <c r="I68" s="53"/>
    </row>
    <row r="69" spans="1:9" ht="15.75" thickBot="1" x14ac:dyDescent="0.3">
      <c r="A69" s="114"/>
      <c r="B69" s="113" t="s">
        <v>71</v>
      </c>
      <c r="C69" s="115"/>
      <c r="D69" s="114"/>
      <c r="E69" s="114"/>
      <c r="F69" s="124" t="s">
        <v>71</v>
      </c>
      <c r="G69" s="115"/>
      <c r="H69" s="114"/>
      <c r="I69" s="53"/>
    </row>
    <row r="70" spans="1:9" ht="15.75" thickBot="1" x14ac:dyDescent="0.3">
      <c r="A70" s="114"/>
      <c r="B70" s="113" t="s">
        <v>0</v>
      </c>
      <c r="C70" s="116">
        <f ca="1">TODAY()</f>
        <v>44621</v>
      </c>
      <c r="D70" s="114"/>
      <c r="E70" s="114"/>
      <c r="F70" s="124" t="s">
        <v>0</v>
      </c>
      <c r="G70" s="116">
        <f ca="1">TODAY()</f>
        <v>44621</v>
      </c>
      <c r="H70" s="114"/>
      <c r="I70" s="53"/>
    </row>
    <row r="71" spans="1:9" ht="27" customHeight="1" x14ac:dyDescent="0.25">
      <c r="A71" s="114"/>
      <c r="B71" s="114"/>
      <c r="C71" s="114"/>
      <c r="D71" s="114"/>
      <c r="E71" s="114"/>
      <c r="F71" s="124"/>
      <c r="G71" s="125"/>
      <c r="H71" s="114"/>
      <c r="I71" s="53"/>
    </row>
    <row r="72" spans="1:9" ht="15.75" thickBot="1" x14ac:dyDescent="0.3">
      <c r="A72" s="123" t="e">
        <f>A68+1</f>
        <v>#VALUE!</v>
      </c>
      <c r="B72" s="113" t="s">
        <v>72</v>
      </c>
      <c r="C72" s="119">
        <f>'Blind List Entry'!B23</f>
        <v>0</v>
      </c>
      <c r="D72" s="114"/>
      <c r="E72" s="123" t="e">
        <f>A72</f>
        <v>#VALUE!</v>
      </c>
      <c r="F72" s="124" t="s">
        <v>72</v>
      </c>
      <c r="G72" s="119">
        <f>C72</f>
        <v>0</v>
      </c>
      <c r="H72" s="114"/>
      <c r="I72" s="53"/>
    </row>
    <row r="73" spans="1:9" ht="15.75" thickBot="1" x14ac:dyDescent="0.3">
      <c r="A73" s="114"/>
      <c r="B73" s="113" t="s">
        <v>71</v>
      </c>
      <c r="C73" s="115"/>
      <c r="D73" s="114"/>
      <c r="E73" s="114"/>
      <c r="F73" s="124" t="s">
        <v>71</v>
      </c>
      <c r="G73" s="115"/>
      <c r="H73" s="114"/>
      <c r="I73" s="53"/>
    </row>
    <row r="74" spans="1:9" ht="15.75" thickBot="1" x14ac:dyDescent="0.3">
      <c r="A74" s="114"/>
      <c r="B74" s="113" t="s">
        <v>0</v>
      </c>
      <c r="C74" s="117">
        <f ca="1">TODAY()</f>
        <v>44621</v>
      </c>
      <c r="D74" s="114"/>
      <c r="E74" s="114"/>
      <c r="F74" s="124" t="s">
        <v>0</v>
      </c>
      <c r="G74" s="116">
        <f ca="1">TODAY()</f>
        <v>44621</v>
      </c>
      <c r="H74" s="114"/>
      <c r="I74" s="53"/>
    </row>
    <row r="75" spans="1:9" ht="30" customHeight="1" x14ac:dyDescent="0.25">
      <c r="A75" s="114"/>
      <c r="B75" s="113"/>
      <c r="C75" s="118"/>
      <c r="D75" s="114"/>
      <c r="E75" s="114"/>
      <c r="F75" s="124"/>
      <c r="G75" s="118"/>
      <c r="H75" s="114"/>
      <c r="I75" s="53"/>
    </row>
    <row r="76" spans="1:9" ht="15.75" thickBot="1" x14ac:dyDescent="0.3">
      <c r="A76" s="123" t="e">
        <f>A72+1</f>
        <v>#VALUE!</v>
      </c>
      <c r="B76" s="113" t="s">
        <v>72</v>
      </c>
      <c r="C76" s="119">
        <f>'Blind List Entry'!B24</f>
        <v>0</v>
      </c>
      <c r="D76" s="114"/>
      <c r="E76" s="123" t="e">
        <f>A76</f>
        <v>#VALUE!</v>
      </c>
      <c r="F76" s="124" t="s">
        <v>72</v>
      </c>
      <c r="G76" s="119">
        <f>C76</f>
        <v>0</v>
      </c>
      <c r="H76" s="114"/>
      <c r="I76" s="53"/>
    </row>
    <row r="77" spans="1:9" ht="15.75" thickBot="1" x14ac:dyDescent="0.3">
      <c r="A77" s="114"/>
      <c r="B77" s="113" t="s">
        <v>71</v>
      </c>
      <c r="C77" s="115"/>
      <c r="D77" s="114"/>
      <c r="E77" s="114"/>
      <c r="F77" s="124" t="s">
        <v>71</v>
      </c>
      <c r="G77" s="115"/>
      <c r="H77" s="114"/>
      <c r="I77" s="53"/>
    </row>
    <row r="78" spans="1:9" ht="15.75" thickBot="1" x14ac:dyDescent="0.3">
      <c r="A78" s="114"/>
      <c r="B78" s="113" t="s">
        <v>0</v>
      </c>
      <c r="C78" s="116">
        <f ca="1">TODAY()</f>
        <v>44621</v>
      </c>
      <c r="D78" s="114"/>
      <c r="E78" s="114"/>
      <c r="F78" s="124" t="s">
        <v>0</v>
      </c>
      <c r="G78" s="116">
        <f ca="1">TODAY()</f>
        <v>44621</v>
      </c>
      <c r="H78" s="114"/>
      <c r="I78" s="53"/>
    </row>
    <row r="79" spans="1:9" ht="15.75" thickBot="1" x14ac:dyDescent="0.3">
      <c r="A79" s="123" t="e">
        <f>A76+1</f>
        <v>#VALUE!</v>
      </c>
      <c r="B79" s="113" t="s">
        <v>72</v>
      </c>
      <c r="C79" s="119">
        <f>'Blind List Entry'!B25</f>
        <v>0</v>
      </c>
      <c r="D79" s="114"/>
      <c r="E79" s="123" t="e">
        <f>A79</f>
        <v>#VALUE!</v>
      </c>
      <c r="F79" s="124" t="s">
        <v>72</v>
      </c>
      <c r="G79" s="119">
        <f>C79</f>
        <v>0</v>
      </c>
      <c r="H79" s="114"/>
      <c r="I79" s="53"/>
    </row>
    <row r="80" spans="1:9" ht="15.75" thickBot="1" x14ac:dyDescent="0.3">
      <c r="A80" s="114"/>
      <c r="B80" s="113" t="s">
        <v>71</v>
      </c>
      <c r="C80" s="115"/>
      <c r="D80" s="114"/>
      <c r="E80" s="114"/>
      <c r="F80" s="124" t="s">
        <v>71</v>
      </c>
      <c r="G80" s="115"/>
      <c r="H80" s="114"/>
      <c r="I80" s="53"/>
    </row>
    <row r="81" spans="1:9" ht="15.75" thickBot="1" x14ac:dyDescent="0.3">
      <c r="A81" s="114"/>
      <c r="B81" s="113" t="s">
        <v>0</v>
      </c>
      <c r="C81" s="116">
        <f ca="1">TODAY()</f>
        <v>44621</v>
      </c>
      <c r="D81" s="114"/>
      <c r="E81" s="114"/>
      <c r="F81" s="124" t="s">
        <v>0</v>
      </c>
      <c r="G81" s="116">
        <f ca="1">TODAY()</f>
        <v>44621</v>
      </c>
      <c r="H81" s="114"/>
      <c r="I81" s="53"/>
    </row>
    <row r="82" spans="1:9" ht="24.6" customHeight="1" x14ac:dyDescent="0.25">
      <c r="A82" s="114"/>
      <c r="B82" s="114"/>
      <c r="C82" s="114"/>
      <c r="D82" s="114"/>
      <c r="E82" s="114"/>
      <c r="F82" s="124"/>
      <c r="G82" s="125"/>
      <c r="H82" s="114"/>
      <c r="I82" s="53"/>
    </row>
    <row r="83" spans="1:9" ht="15.75" thickBot="1" x14ac:dyDescent="0.3">
      <c r="A83" s="123" t="e">
        <f>A79+1</f>
        <v>#VALUE!</v>
      </c>
      <c r="B83" s="113" t="s">
        <v>72</v>
      </c>
      <c r="C83" s="119">
        <f>'Blind List Entry'!B26</f>
        <v>0</v>
      </c>
      <c r="D83" s="114"/>
      <c r="E83" s="123" t="e">
        <f>A83</f>
        <v>#VALUE!</v>
      </c>
      <c r="F83" s="124" t="s">
        <v>72</v>
      </c>
      <c r="G83" s="119">
        <f>C83</f>
        <v>0</v>
      </c>
      <c r="H83" s="114"/>
      <c r="I83" s="53"/>
    </row>
    <row r="84" spans="1:9" ht="15.75" thickBot="1" x14ac:dyDescent="0.3">
      <c r="A84" s="114"/>
      <c r="B84" s="113" t="s">
        <v>71</v>
      </c>
      <c r="C84" s="115"/>
      <c r="D84" s="114"/>
      <c r="E84" s="114"/>
      <c r="F84" s="124" t="s">
        <v>71</v>
      </c>
      <c r="G84" s="115"/>
      <c r="H84" s="114"/>
      <c r="I84" s="53"/>
    </row>
    <row r="85" spans="1:9" ht="15.75" thickBot="1" x14ac:dyDescent="0.3">
      <c r="A85" s="114"/>
      <c r="B85" s="113" t="s">
        <v>0</v>
      </c>
      <c r="C85" s="116">
        <f ca="1">TODAY()</f>
        <v>44621</v>
      </c>
      <c r="D85" s="114"/>
      <c r="E85" s="114"/>
      <c r="F85" s="124" t="s">
        <v>0</v>
      </c>
      <c r="G85" s="116">
        <f ca="1">TODAY()</f>
        <v>44621</v>
      </c>
      <c r="H85" s="114"/>
      <c r="I85" s="53"/>
    </row>
    <row r="86" spans="1:9" ht="24.6" customHeight="1" x14ac:dyDescent="0.25">
      <c r="A86" s="114"/>
      <c r="B86" s="114"/>
      <c r="C86" s="114"/>
      <c r="D86" s="114"/>
      <c r="E86" s="114"/>
      <c r="F86" s="124"/>
      <c r="G86" s="125"/>
      <c r="H86" s="114"/>
      <c r="I86" s="53"/>
    </row>
    <row r="87" spans="1:9" ht="15.75" thickBot="1" x14ac:dyDescent="0.3">
      <c r="A87" s="123" t="e">
        <f>A83+1</f>
        <v>#VALUE!</v>
      </c>
      <c r="B87" s="113" t="s">
        <v>72</v>
      </c>
      <c r="C87" s="119">
        <f>'Blind List Entry'!B27</f>
        <v>0</v>
      </c>
      <c r="D87" s="114"/>
      <c r="E87" s="123" t="e">
        <f>A87</f>
        <v>#VALUE!</v>
      </c>
      <c r="F87" s="124" t="s">
        <v>72</v>
      </c>
      <c r="G87" s="119">
        <f>C87</f>
        <v>0</v>
      </c>
      <c r="H87" s="114"/>
      <c r="I87" s="53"/>
    </row>
    <row r="88" spans="1:9" ht="15.75" thickBot="1" x14ac:dyDescent="0.3">
      <c r="A88" s="114"/>
      <c r="B88" s="113" t="s">
        <v>71</v>
      </c>
      <c r="C88" s="115"/>
      <c r="D88" s="114"/>
      <c r="E88" s="114"/>
      <c r="F88" s="124" t="s">
        <v>71</v>
      </c>
      <c r="G88" s="115"/>
      <c r="H88" s="114"/>
      <c r="I88" s="53"/>
    </row>
    <row r="89" spans="1:9" ht="15.75" thickBot="1" x14ac:dyDescent="0.3">
      <c r="A89" s="114"/>
      <c r="B89" s="113" t="s">
        <v>0</v>
      </c>
      <c r="C89" s="116">
        <f ca="1">TODAY()</f>
        <v>44621</v>
      </c>
      <c r="D89" s="114"/>
      <c r="E89" s="114"/>
      <c r="F89" s="124" t="s">
        <v>0</v>
      </c>
      <c r="G89" s="116">
        <f ca="1">TODAY()</f>
        <v>44621</v>
      </c>
      <c r="H89" s="114"/>
      <c r="I89" s="53"/>
    </row>
    <row r="90" spans="1:9" ht="24.6" customHeight="1" x14ac:dyDescent="0.25">
      <c r="A90" s="114"/>
      <c r="B90" s="114"/>
      <c r="C90" s="114"/>
      <c r="D90" s="114"/>
      <c r="E90" s="114"/>
      <c r="F90" s="124"/>
      <c r="G90" s="125"/>
      <c r="H90" s="114"/>
      <c r="I90" s="53"/>
    </row>
    <row r="91" spans="1:9" ht="15.75" thickBot="1" x14ac:dyDescent="0.3">
      <c r="A91" s="123" t="e">
        <f>A87+1</f>
        <v>#VALUE!</v>
      </c>
      <c r="B91" s="113" t="s">
        <v>72</v>
      </c>
      <c r="C91" s="119">
        <f>'Blind List Entry'!B28</f>
        <v>0</v>
      </c>
      <c r="D91" s="114"/>
      <c r="E91" s="123" t="e">
        <f>A91</f>
        <v>#VALUE!</v>
      </c>
      <c r="F91" s="124" t="s">
        <v>72</v>
      </c>
      <c r="G91" s="119">
        <f>C91</f>
        <v>0</v>
      </c>
      <c r="H91" s="114"/>
      <c r="I91" s="53"/>
    </row>
    <row r="92" spans="1:9" ht="15.75" thickBot="1" x14ac:dyDescent="0.3">
      <c r="A92" s="114"/>
      <c r="B92" s="113" t="s">
        <v>71</v>
      </c>
      <c r="C92" s="115"/>
      <c r="D92" s="114"/>
      <c r="E92" s="114"/>
      <c r="F92" s="124" t="s">
        <v>71</v>
      </c>
      <c r="G92" s="115"/>
      <c r="H92" s="114"/>
      <c r="I92" s="53"/>
    </row>
    <row r="93" spans="1:9" ht="15.75" thickBot="1" x14ac:dyDescent="0.3">
      <c r="A93" s="114"/>
      <c r="B93" s="113" t="s">
        <v>0</v>
      </c>
      <c r="C93" s="116">
        <f ca="1">TODAY()</f>
        <v>44621</v>
      </c>
      <c r="D93" s="114"/>
      <c r="E93" s="114"/>
      <c r="F93" s="124" t="s">
        <v>0</v>
      </c>
      <c r="G93" s="116">
        <f ca="1">TODAY()</f>
        <v>44621</v>
      </c>
      <c r="H93" s="114"/>
      <c r="I93" s="53"/>
    </row>
    <row r="94" spans="1:9" ht="24.6" customHeight="1" x14ac:dyDescent="0.25">
      <c r="A94" s="114"/>
      <c r="B94" s="114"/>
      <c r="C94" s="114"/>
      <c r="D94" s="114"/>
      <c r="E94" s="114"/>
      <c r="F94" s="124"/>
      <c r="G94" s="125"/>
      <c r="H94" s="114"/>
      <c r="I94" s="53"/>
    </row>
    <row r="95" spans="1:9" ht="15.75" thickBot="1" x14ac:dyDescent="0.3">
      <c r="A95" s="123" t="e">
        <f>A91+1</f>
        <v>#VALUE!</v>
      </c>
      <c r="B95" s="113" t="s">
        <v>72</v>
      </c>
      <c r="C95" s="119">
        <f>'Blind List Entry'!B29</f>
        <v>0</v>
      </c>
      <c r="D95" s="114"/>
      <c r="E95" s="123" t="e">
        <f>A95</f>
        <v>#VALUE!</v>
      </c>
      <c r="F95" s="124" t="s">
        <v>72</v>
      </c>
      <c r="G95" s="119">
        <f>C95</f>
        <v>0</v>
      </c>
      <c r="H95" s="114"/>
      <c r="I95" s="53"/>
    </row>
    <row r="96" spans="1:9" ht="15.75" thickBot="1" x14ac:dyDescent="0.3">
      <c r="A96" s="114"/>
      <c r="B96" s="113" t="s">
        <v>71</v>
      </c>
      <c r="C96" s="115"/>
      <c r="D96" s="114"/>
      <c r="E96" s="114"/>
      <c r="F96" s="124" t="s">
        <v>71</v>
      </c>
      <c r="G96" s="115"/>
      <c r="H96" s="114"/>
      <c r="I96" s="53"/>
    </row>
    <row r="97" spans="1:9" ht="15.75" thickBot="1" x14ac:dyDescent="0.3">
      <c r="A97" s="114"/>
      <c r="B97" s="113" t="s">
        <v>0</v>
      </c>
      <c r="C97" s="116">
        <f ca="1">TODAY()</f>
        <v>44621</v>
      </c>
      <c r="D97" s="114"/>
      <c r="E97" s="114"/>
      <c r="F97" s="124" t="s">
        <v>0</v>
      </c>
      <c r="G97" s="116">
        <f ca="1">TODAY()</f>
        <v>44621</v>
      </c>
      <c r="H97" s="114"/>
      <c r="I97" s="53"/>
    </row>
    <row r="98" spans="1:9" ht="24.6" customHeight="1" x14ac:dyDescent="0.25">
      <c r="A98" s="114"/>
      <c r="B98" s="114"/>
      <c r="C98" s="114"/>
      <c r="D98" s="114"/>
      <c r="E98" s="114"/>
      <c r="F98" s="124"/>
      <c r="G98" s="125"/>
      <c r="H98" s="114"/>
      <c r="I98" s="53"/>
    </row>
    <row r="99" spans="1:9" ht="15.75" thickBot="1" x14ac:dyDescent="0.3">
      <c r="A99" s="123" t="e">
        <f>A95+1</f>
        <v>#VALUE!</v>
      </c>
      <c r="B99" s="113" t="s">
        <v>72</v>
      </c>
      <c r="C99" s="119">
        <f>'Blind List Entry'!B30</f>
        <v>0</v>
      </c>
      <c r="D99" s="114"/>
      <c r="E99" s="123" t="e">
        <f>A99</f>
        <v>#VALUE!</v>
      </c>
      <c r="F99" s="124" t="s">
        <v>72</v>
      </c>
      <c r="G99" s="119">
        <f>C99</f>
        <v>0</v>
      </c>
      <c r="H99" s="114"/>
      <c r="I99" s="53"/>
    </row>
    <row r="100" spans="1:9" ht="15.75" thickBot="1" x14ac:dyDescent="0.3">
      <c r="A100" s="114"/>
      <c r="B100" s="113" t="s">
        <v>71</v>
      </c>
      <c r="C100" s="115"/>
      <c r="D100" s="114"/>
      <c r="E100" s="114"/>
      <c r="F100" s="124" t="s">
        <v>71</v>
      </c>
      <c r="G100" s="115"/>
      <c r="H100" s="114"/>
      <c r="I100" s="53"/>
    </row>
    <row r="101" spans="1:9" ht="15.75" thickBot="1" x14ac:dyDescent="0.3">
      <c r="A101" s="114"/>
      <c r="B101" s="113" t="s">
        <v>0</v>
      </c>
      <c r="C101" s="116">
        <f ca="1">TODAY()</f>
        <v>44621</v>
      </c>
      <c r="D101" s="114"/>
      <c r="E101" s="114"/>
      <c r="F101" s="124" t="s">
        <v>0</v>
      </c>
      <c r="G101" s="116">
        <f ca="1">TODAY()</f>
        <v>44621</v>
      </c>
      <c r="H101" s="114"/>
      <c r="I101" s="53"/>
    </row>
    <row r="102" spans="1:9" ht="24.6" customHeight="1" x14ac:dyDescent="0.25">
      <c r="A102" s="114"/>
      <c r="B102" s="114"/>
      <c r="C102" s="114"/>
      <c r="D102" s="114"/>
      <c r="E102" s="114"/>
      <c r="F102" s="124"/>
      <c r="G102" s="125"/>
      <c r="H102" s="114"/>
      <c r="I102" s="53"/>
    </row>
    <row r="103" spans="1:9" ht="15.75" thickBot="1" x14ac:dyDescent="0.3">
      <c r="A103" s="123" t="e">
        <f>A99+1</f>
        <v>#VALUE!</v>
      </c>
      <c r="B103" s="113" t="s">
        <v>72</v>
      </c>
      <c r="C103" s="119">
        <f>'Blind List Entry'!B31</f>
        <v>0</v>
      </c>
      <c r="D103" s="114"/>
      <c r="E103" s="123" t="e">
        <f>A103</f>
        <v>#VALUE!</v>
      </c>
      <c r="F103" s="124" t="s">
        <v>72</v>
      </c>
      <c r="G103" s="119">
        <f>C103</f>
        <v>0</v>
      </c>
      <c r="H103" s="114"/>
      <c r="I103" s="53"/>
    </row>
    <row r="104" spans="1:9" ht="15.75" thickBot="1" x14ac:dyDescent="0.3">
      <c r="A104" s="114"/>
      <c r="B104" s="113" t="s">
        <v>71</v>
      </c>
      <c r="C104" s="115"/>
      <c r="D104" s="114"/>
      <c r="E104" s="114"/>
      <c r="F104" s="124" t="s">
        <v>71</v>
      </c>
      <c r="G104" s="115"/>
      <c r="H104" s="114"/>
      <c r="I104" s="53"/>
    </row>
    <row r="105" spans="1:9" ht="15.75" thickBot="1" x14ac:dyDescent="0.3">
      <c r="A105" s="114"/>
      <c r="B105" s="113" t="s">
        <v>0</v>
      </c>
      <c r="C105" s="116">
        <f ca="1">TODAY()</f>
        <v>44621</v>
      </c>
      <c r="D105" s="114"/>
      <c r="E105" s="114"/>
      <c r="F105" s="124" t="s">
        <v>0</v>
      </c>
      <c r="G105" s="116">
        <f ca="1">TODAY()</f>
        <v>44621</v>
      </c>
      <c r="H105" s="114"/>
      <c r="I105" s="53"/>
    </row>
    <row r="106" spans="1:9" ht="27.95" customHeight="1" x14ac:dyDescent="0.25">
      <c r="A106" s="114"/>
      <c r="B106" s="114"/>
      <c r="C106" s="114"/>
      <c r="D106" s="114"/>
      <c r="E106" s="114"/>
      <c r="F106" s="124"/>
      <c r="G106" s="125"/>
      <c r="H106" s="114"/>
      <c r="I106" s="53"/>
    </row>
    <row r="107" spans="1:9" ht="15.75" thickBot="1" x14ac:dyDescent="0.3">
      <c r="A107" s="123" t="e">
        <f>A103+1</f>
        <v>#VALUE!</v>
      </c>
      <c r="B107" s="113" t="s">
        <v>72</v>
      </c>
      <c r="C107" s="119">
        <f>'Blind List Entry'!B32</f>
        <v>0</v>
      </c>
      <c r="D107" s="114"/>
      <c r="E107" s="123" t="e">
        <f>A107</f>
        <v>#VALUE!</v>
      </c>
      <c r="F107" s="124" t="s">
        <v>72</v>
      </c>
      <c r="G107" s="119">
        <f>C107</f>
        <v>0</v>
      </c>
      <c r="H107" s="114"/>
      <c r="I107" s="53"/>
    </row>
    <row r="108" spans="1:9" ht="15.75" thickBot="1" x14ac:dyDescent="0.3">
      <c r="A108" s="114"/>
      <c r="B108" s="113" t="s">
        <v>71</v>
      </c>
      <c r="C108" s="115"/>
      <c r="D108" s="114"/>
      <c r="E108" s="114"/>
      <c r="F108" s="124" t="s">
        <v>71</v>
      </c>
      <c r="G108" s="115"/>
      <c r="H108" s="114"/>
      <c r="I108" s="53"/>
    </row>
    <row r="109" spans="1:9" ht="15.75" thickBot="1" x14ac:dyDescent="0.3">
      <c r="A109" s="114"/>
      <c r="B109" s="113" t="s">
        <v>0</v>
      </c>
      <c r="C109" s="116">
        <f ca="1">TODAY()</f>
        <v>44621</v>
      </c>
      <c r="D109" s="114"/>
      <c r="E109" s="114"/>
      <c r="F109" s="124" t="s">
        <v>0</v>
      </c>
      <c r="G109" s="116">
        <f ca="1">TODAY()</f>
        <v>44621</v>
      </c>
      <c r="H109" s="114"/>
      <c r="I109" s="53"/>
    </row>
    <row r="110" spans="1:9" ht="27.95" customHeight="1" x14ac:dyDescent="0.25">
      <c r="A110" s="114"/>
      <c r="B110" s="114"/>
      <c r="C110" s="114"/>
      <c r="D110" s="114"/>
      <c r="E110" s="114"/>
      <c r="F110" s="124"/>
      <c r="G110" s="125"/>
      <c r="H110" s="114"/>
      <c r="I110" s="53"/>
    </row>
    <row r="111" spans="1:9" ht="15.75" thickBot="1" x14ac:dyDescent="0.3">
      <c r="A111" s="123" t="e">
        <f>A107+1</f>
        <v>#VALUE!</v>
      </c>
      <c r="B111" s="113" t="s">
        <v>72</v>
      </c>
      <c r="C111" s="119">
        <f>'Blind List Entry'!B33</f>
        <v>0</v>
      </c>
      <c r="D111" s="114"/>
      <c r="E111" s="123" t="e">
        <f>A111</f>
        <v>#VALUE!</v>
      </c>
      <c r="F111" s="124" t="s">
        <v>72</v>
      </c>
      <c r="G111" s="119">
        <f>C111</f>
        <v>0</v>
      </c>
      <c r="H111" s="114"/>
      <c r="I111" s="53"/>
    </row>
    <row r="112" spans="1:9" ht="15.75" thickBot="1" x14ac:dyDescent="0.3">
      <c r="A112" s="114"/>
      <c r="B112" s="113" t="s">
        <v>71</v>
      </c>
      <c r="C112" s="115"/>
      <c r="D112" s="114"/>
      <c r="E112" s="114"/>
      <c r="F112" s="124" t="s">
        <v>71</v>
      </c>
      <c r="G112" s="115"/>
      <c r="H112" s="114"/>
      <c r="I112" s="53"/>
    </row>
    <row r="113" spans="1:9" ht="15.75" thickBot="1" x14ac:dyDescent="0.3">
      <c r="A113" s="114"/>
      <c r="B113" s="113" t="s">
        <v>0</v>
      </c>
      <c r="C113" s="116">
        <f ca="1">TODAY()</f>
        <v>44621</v>
      </c>
      <c r="D113" s="114"/>
      <c r="E113" s="114"/>
      <c r="F113" s="124" t="s">
        <v>0</v>
      </c>
      <c r="G113" s="116">
        <f ca="1">TODAY()</f>
        <v>44621</v>
      </c>
      <c r="H113" s="114"/>
      <c r="I113" s="53"/>
    </row>
    <row r="114" spans="1:9" ht="27.95" customHeight="1" x14ac:dyDescent="0.25">
      <c r="A114" s="114"/>
      <c r="B114" s="113"/>
      <c r="C114" s="118"/>
      <c r="D114" s="114"/>
      <c r="E114" s="114"/>
      <c r="F114" s="124"/>
      <c r="G114" s="118"/>
      <c r="H114" s="114"/>
      <c r="I114" s="53"/>
    </row>
    <row r="115" spans="1:9" ht="15.75" thickBot="1" x14ac:dyDescent="0.3">
      <c r="A115" s="123" t="e">
        <f>A111+1</f>
        <v>#VALUE!</v>
      </c>
      <c r="B115" s="113" t="s">
        <v>72</v>
      </c>
      <c r="C115" s="119">
        <f>'Blind List Entry'!B34</f>
        <v>0</v>
      </c>
      <c r="D115" s="114"/>
      <c r="E115" s="123" t="e">
        <f>A115</f>
        <v>#VALUE!</v>
      </c>
      <c r="F115" s="124" t="s">
        <v>72</v>
      </c>
      <c r="G115" s="119">
        <f>C115</f>
        <v>0</v>
      </c>
      <c r="H115" s="114"/>
      <c r="I115" s="53"/>
    </row>
    <row r="116" spans="1:9" ht="15.75" thickBot="1" x14ac:dyDescent="0.3">
      <c r="A116" s="114"/>
      <c r="B116" s="113" t="s">
        <v>71</v>
      </c>
      <c r="C116" s="115"/>
      <c r="D116" s="114"/>
      <c r="E116" s="114"/>
      <c r="F116" s="124" t="s">
        <v>71</v>
      </c>
      <c r="G116" s="115"/>
      <c r="H116" s="114"/>
      <c r="I116" s="53"/>
    </row>
    <row r="117" spans="1:9" ht="15.75" thickBot="1" x14ac:dyDescent="0.3">
      <c r="A117" s="114"/>
      <c r="B117" s="113" t="s">
        <v>0</v>
      </c>
      <c r="C117" s="116">
        <f ca="1">TODAY()</f>
        <v>44621</v>
      </c>
      <c r="D117" s="114"/>
      <c r="E117" s="114"/>
      <c r="F117" s="124" t="s">
        <v>0</v>
      </c>
      <c r="G117" s="116">
        <f ca="1">TODAY()</f>
        <v>44621</v>
      </c>
      <c r="H117" s="114"/>
      <c r="I117" s="53"/>
    </row>
    <row r="118" spans="1:9" x14ac:dyDescent="0.25">
      <c r="A118" s="114"/>
      <c r="B118" s="113"/>
      <c r="C118" s="118"/>
      <c r="D118" s="114"/>
      <c r="E118" s="114"/>
      <c r="F118" s="124"/>
      <c r="G118" s="118"/>
      <c r="H118" s="114"/>
      <c r="I118" s="53"/>
    </row>
    <row r="119" spans="1:9" x14ac:dyDescent="0.25">
      <c r="A119" s="53"/>
      <c r="B119" s="53"/>
      <c r="C119" s="53"/>
      <c r="D119" s="53"/>
      <c r="E119" s="53"/>
      <c r="F119" s="113"/>
      <c r="G119" s="126"/>
      <c r="H119" s="53"/>
      <c r="I119" s="53"/>
    </row>
    <row r="120" spans="1:9" x14ac:dyDescent="0.25">
      <c r="A120" s="53"/>
      <c r="B120" s="53"/>
      <c r="C120" s="53"/>
      <c r="D120" s="53"/>
      <c r="E120" s="53"/>
      <c r="F120" s="113"/>
      <c r="G120" s="126"/>
      <c r="H120" s="53"/>
      <c r="I120" s="53"/>
    </row>
    <row r="121" spans="1:9" x14ac:dyDescent="0.25">
      <c r="A121" s="53"/>
      <c r="B121" s="53"/>
      <c r="C121" s="53"/>
      <c r="D121" s="53"/>
      <c r="E121" s="53"/>
      <c r="F121" s="113"/>
      <c r="G121" s="126"/>
      <c r="H121" s="53"/>
      <c r="I121" s="53"/>
    </row>
    <row r="122" spans="1:9" x14ac:dyDescent="0.25">
      <c r="A122" s="53"/>
      <c r="B122" s="53"/>
      <c r="C122" s="53"/>
      <c r="D122" s="53"/>
      <c r="E122" s="53"/>
      <c r="F122" s="113"/>
      <c r="G122" s="126"/>
      <c r="H122" s="53"/>
      <c r="I122" s="53"/>
    </row>
    <row r="123" spans="1:9" x14ac:dyDescent="0.25">
      <c r="A123" s="53"/>
      <c r="B123" s="53"/>
      <c r="C123" s="53"/>
      <c r="D123" s="53"/>
      <c r="E123" s="53"/>
      <c r="F123" s="113"/>
      <c r="G123" s="126"/>
      <c r="H123" s="53"/>
      <c r="I123" s="53"/>
    </row>
    <row r="124" spans="1:9" x14ac:dyDescent="0.25">
      <c r="A124" s="53"/>
      <c r="B124" s="53"/>
      <c r="C124" s="53"/>
      <c r="D124" s="53"/>
      <c r="E124" s="53"/>
      <c r="F124" s="113"/>
      <c r="G124" s="126"/>
      <c r="H124" s="53"/>
      <c r="I124" s="53"/>
    </row>
    <row r="125" spans="1:9" x14ac:dyDescent="0.25">
      <c r="A125" s="53"/>
      <c r="B125" s="53"/>
      <c r="C125" s="53"/>
      <c r="D125" s="53"/>
      <c r="E125" s="53"/>
      <c r="F125" s="113"/>
      <c r="G125" s="126"/>
      <c r="H125" s="53"/>
      <c r="I125" s="53"/>
    </row>
    <row r="126" spans="1:9" x14ac:dyDescent="0.25">
      <c r="A126" s="53"/>
      <c r="B126" s="53"/>
      <c r="C126" s="53"/>
      <c r="D126" s="53"/>
      <c r="E126" s="53"/>
      <c r="F126" s="113"/>
      <c r="G126" s="126"/>
      <c r="H126" s="53"/>
      <c r="I126" s="53"/>
    </row>
    <row r="127" spans="1:9" x14ac:dyDescent="0.25">
      <c r="A127" s="53"/>
      <c r="B127" s="53"/>
      <c r="C127" s="53"/>
      <c r="D127" s="53"/>
      <c r="E127" s="53"/>
      <c r="F127" s="113"/>
      <c r="G127" s="126"/>
      <c r="H127" s="53"/>
      <c r="I127" s="53"/>
    </row>
    <row r="128" spans="1:9" x14ac:dyDescent="0.25">
      <c r="A128" s="53"/>
      <c r="B128" s="53"/>
      <c r="C128" s="53"/>
      <c r="D128" s="53"/>
      <c r="E128" s="53"/>
      <c r="F128" s="113"/>
      <c r="G128" s="126"/>
      <c r="H128" s="53"/>
      <c r="I128" s="53"/>
    </row>
    <row r="129" spans="1:9" x14ac:dyDescent="0.25">
      <c r="A129" s="53"/>
      <c r="B129" s="53"/>
      <c r="C129" s="53"/>
      <c r="D129" s="53"/>
      <c r="E129" s="53"/>
      <c r="F129" s="113"/>
      <c r="G129" s="126"/>
      <c r="H129" s="53"/>
      <c r="I129" s="53"/>
    </row>
    <row r="130" spans="1:9" x14ac:dyDescent="0.25">
      <c r="A130" s="53"/>
      <c r="B130" s="53"/>
      <c r="C130" s="53"/>
      <c r="D130" s="53"/>
      <c r="E130" s="53"/>
      <c r="F130" s="113"/>
      <c r="G130" s="126"/>
      <c r="H130" s="53"/>
      <c r="I130" s="53"/>
    </row>
    <row r="131" spans="1:9" x14ac:dyDescent="0.25">
      <c r="A131" s="53"/>
      <c r="B131" s="53"/>
      <c r="C131" s="53"/>
      <c r="D131" s="53"/>
      <c r="E131" s="53"/>
      <c r="F131" s="113"/>
      <c r="G131" s="126"/>
      <c r="H131" s="53"/>
      <c r="I131" s="53"/>
    </row>
    <row r="132" spans="1:9" x14ac:dyDescent="0.25">
      <c r="A132" s="53"/>
      <c r="B132" s="53"/>
      <c r="C132" s="53"/>
      <c r="D132" s="53"/>
      <c r="E132" s="53"/>
      <c r="F132" s="113"/>
      <c r="G132" s="126"/>
      <c r="H132" s="53"/>
      <c r="I132" s="53"/>
    </row>
    <row r="133" spans="1:9" x14ac:dyDescent="0.25">
      <c r="A133" s="53"/>
      <c r="B133" s="53"/>
      <c r="C133" s="53"/>
      <c r="D133" s="53"/>
      <c r="E133" s="53"/>
      <c r="F133" s="113"/>
      <c r="G133" s="126"/>
      <c r="H133" s="53"/>
      <c r="I133" s="53"/>
    </row>
    <row r="134" spans="1:9" x14ac:dyDescent="0.25">
      <c r="A134" s="53"/>
      <c r="B134" s="53"/>
      <c r="C134" s="53"/>
      <c r="D134" s="53"/>
      <c r="E134" s="53"/>
      <c r="F134" s="113"/>
      <c r="G134" s="126"/>
      <c r="H134" s="53"/>
      <c r="I134" s="53"/>
    </row>
    <row r="135" spans="1:9" x14ac:dyDescent="0.25">
      <c r="A135" s="53"/>
      <c r="B135" s="53"/>
      <c r="C135" s="53"/>
      <c r="D135" s="53"/>
      <c r="E135" s="53"/>
      <c r="F135" s="113"/>
      <c r="G135" s="126"/>
      <c r="H135" s="53"/>
      <c r="I135" s="53"/>
    </row>
    <row r="136" spans="1:9" x14ac:dyDescent="0.25">
      <c r="A136" s="53"/>
      <c r="B136" s="53"/>
      <c r="C136" s="53"/>
      <c r="D136" s="53"/>
      <c r="E136" s="53"/>
      <c r="F136" s="113"/>
      <c r="G136" s="126"/>
      <c r="H136" s="53"/>
      <c r="I136" s="53"/>
    </row>
    <row r="137" spans="1:9" x14ac:dyDescent="0.25">
      <c r="A137" s="53"/>
      <c r="B137" s="53"/>
      <c r="C137" s="53"/>
      <c r="D137" s="53"/>
      <c r="E137" s="53"/>
      <c r="F137" s="113"/>
      <c r="G137" s="126"/>
      <c r="H137" s="53"/>
      <c r="I137" s="53"/>
    </row>
    <row r="138" spans="1:9" x14ac:dyDescent="0.25">
      <c r="A138" s="53"/>
      <c r="B138" s="53"/>
      <c r="C138" s="53"/>
      <c r="D138" s="53"/>
      <c r="E138" s="53"/>
      <c r="F138" s="113"/>
      <c r="G138" s="126"/>
      <c r="H138" s="53"/>
      <c r="I138" s="53"/>
    </row>
    <row r="139" spans="1:9" x14ac:dyDescent="0.25">
      <c r="A139" s="53"/>
      <c r="B139" s="53"/>
      <c r="C139" s="53"/>
      <c r="D139" s="53"/>
      <c r="E139" s="53"/>
      <c r="F139" s="113"/>
      <c r="G139" s="126"/>
      <c r="H139" s="53"/>
      <c r="I139" s="53"/>
    </row>
    <row r="140" spans="1:9" x14ac:dyDescent="0.25">
      <c r="A140" s="53"/>
      <c r="B140" s="53"/>
      <c r="C140" s="53"/>
      <c r="D140" s="53"/>
      <c r="E140" s="53"/>
      <c r="F140" s="113"/>
      <c r="G140" s="126"/>
      <c r="H140" s="53"/>
      <c r="I140" s="53"/>
    </row>
    <row r="141" spans="1:9" x14ac:dyDescent="0.25">
      <c r="A141" s="53"/>
      <c r="B141" s="53"/>
      <c r="C141" s="53"/>
      <c r="D141" s="53"/>
      <c r="E141" s="53"/>
      <c r="F141" s="113"/>
      <c r="G141" s="126"/>
      <c r="H141" s="53"/>
      <c r="I141" s="53"/>
    </row>
    <row r="142" spans="1:9" x14ac:dyDescent="0.25">
      <c r="A142" s="53"/>
      <c r="B142" s="53"/>
      <c r="C142" s="53"/>
      <c r="D142" s="53"/>
      <c r="E142" s="53"/>
      <c r="F142" s="113"/>
      <c r="G142" s="126"/>
      <c r="H142" s="53"/>
      <c r="I142" s="53"/>
    </row>
    <row r="143" spans="1:9" x14ac:dyDescent="0.25">
      <c r="A143" s="53"/>
      <c r="B143" s="53"/>
      <c r="C143" s="53"/>
      <c r="D143" s="53"/>
      <c r="E143" s="53"/>
      <c r="F143" s="113"/>
      <c r="G143" s="126"/>
      <c r="H143" s="53"/>
      <c r="I143" s="53"/>
    </row>
    <row r="144" spans="1:9" x14ac:dyDescent="0.25">
      <c r="A144" s="53"/>
      <c r="B144" s="53"/>
      <c r="C144" s="53"/>
      <c r="D144" s="53"/>
      <c r="E144" s="53"/>
      <c r="F144" s="113"/>
      <c r="G144" s="126"/>
      <c r="H144" s="53"/>
      <c r="I144" s="53"/>
    </row>
    <row r="145" spans="1:9" x14ac:dyDescent="0.25">
      <c r="A145" s="53"/>
      <c r="B145" s="53"/>
      <c r="C145" s="53"/>
      <c r="D145" s="53"/>
      <c r="E145" s="53"/>
      <c r="F145" s="113"/>
      <c r="G145" s="126"/>
      <c r="H145" s="53"/>
      <c r="I145" s="53"/>
    </row>
    <row r="146" spans="1:9" x14ac:dyDescent="0.25">
      <c r="A146" s="53"/>
      <c r="B146" s="53"/>
      <c r="C146" s="53"/>
      <c r="D146" s="53"/>
      <c r="E146" s="53"/>
      <c r="F146" s="113"/>
      <c r="G146" s="126"/>
      <c r="H146" s="53"/>
      <c r="I146" s="53"/>
    </row>
    <row r="147" spans="1:9" x14ac:dyDescent="0.25">
      <c r="A147" s="53"/>
      <c r="B147" s="53"/>
      <c r="C147" s="53"/>
      <c r="D147" s="53"/>
      <c r="E147" s="53"/>
      <c r="F147" s="113"/>
      <c r="G147" s="126"/>
      <c r="H147" s="53"/>
      <c r="I147" s="53"/>
    </row>
    <row r="148" spans="1:9" x14ac:dyDescent="0.25">
      <c r="A148" s="53"/>
      <c r="B148" s="53"/>
      <c r="C148" s="53"/>
      <c r="D148" s="53"/>
      <c r="E148" s="53"/>
      <c r="F148" s="113"/>
      <c r="G148" s="126"/>
      <c r="H148" s="53"/>
      <c r="I148" s="53"/>
    </row>
    <row r="149" spans="1:9" x14ac:dyDescent="0.25">
      <c r="A149" s="53"/>
      <c r="B149" s="53"/>
      <c r="C149" s="53"/>
      <c r="D149" s="53"/>
      <c r="E149" s="53"/>
      <c r="F149" s="113"/>
      <c r="G149" s="126"/>
      <c r="H149" s="53"/>
      <c r="I149" s="53"/>
    </row>
    <row r="150" spans="1:9" x14ac:dyDescent="0.25">
      <c r="A150" s="53"/>
      <c r="B150" s="53"/>
      <c r="C150" s="53"/>
      <c r="D150" s="53"/>
      <c r="E150" s="53"/>
      <c r="F150" s="113"/>
      <c r="G150" s="126"/>
      <c r="H150" s="53"/>
      <c r="I150" s="53"/>
    </row>
    <row r="151" spans="1:9" x14ac:dyDescent="0.25">
      <c r="A151" s="53"/>
      <c r="B151" s="53"/>
      <c r="C151" s="53"/>
      <c r="D151" s="53"/>
      <c r="E151" s="53"/>
      <c r="F151" s="113"/>
      <c r="G151" s="126"/>
      <c r="H151" s="53"/>
      <c r="I151" s="53"/>
    </row>
    <row r="152" spans="1:9" x14ac:dyDescent="0.25">
      <c r="A152" s="53"/>
      <c r="B152" s="53"/>
      <c r="C152" s="53"/>
      <c r="D152" s="53"/>
      <c r="E152" s="53"/>
      <c r="F152" s="113"/>
      <c r="G152" s="126"/>
      <c r="H152" s="53"/>
      <c r="I152" s="53"/>
    </row>
    <row r="153" spans="1:9" x14ac:dyDescent="0.25">
      <c r="A153" s="53"/>
      <c r="B153" s="53"/>
      <c r="C153" s="53"/>
      <c r="D153" s="53"/>
      <c r="E153" s="53"/>
      <c r="F153" s="113"/>
      <c r="G153" s="126"/>
      <c r="H153" s="53"/>
      <c r="I153" s="53"/>
    </row>
    <row r="154" spans="1:9" x14ac:dyDescent="0.25">
      <c r="A154" s="53"/>
      <c r="B154" s="53"/>
      <c r="C154" s="53"/>
      <c r="D154" s="53"/>
      <c r="E154" s="53"/>
      <c r="F154" s="113"/>
      <c r="G154" s="126"/>
      <c r="H154" s="53"/>
      <c r="I154" s="53"/>
    </row>
    <row r="155" spans="1:9" x14ac:dyDescent="0.25">
      <c r="A155" s="53"/>
      <c r="B155" s="53"/>
      <c r="C155" s="53"/>
      <c r="D155" s="53"/>
      <c r="E155" s="53"/>
      <c r="F155" s="113"/>
      <c r="G155" s="126"/>
      <c r="H155" s="53"/>
      <c r="I155" s="53"/>
    </row>
    <row r="156" spans="1:9" x14ac:dyDescent="0.25">
      <c r="A156" s="53"/>
      <c r="B156" s="53"/>
      <c r="C156" s="53"/>
      <c r="D156" s="53"/>
      <c r="E156" s="53"/>
      <c r="F156" s="113"/>
      <c r="G156" s="126"/>
      <c r="H156" s="53"/>
      <c r="I156" s="53"/>
    </row>
    <row r="157" spans="1:9" x14ac:dyDescent="0.25">
      <c r="A157" s="53"/>
      <c r="B157" s="53"/>
      <c r="C157" s="53"/>
      <c r="D157" s="53"/>
      <c r="E157" s="53"/>
      <c r="F157" s="113"/>
      <c r="G157" s="126"/>
      <c r="H157" s="53"/>
      <c r="I157" s="53"/>
    </row>
    <row r="158" spans="1:9" x14ac:dyDescent="0.25">
      <c r="A158" s="53"/>
      <c r="B158" s="53"/>
      <c r="C158" s="53"/>
      <c r="D158" s="53"/>
      <c r="E158" s="53"/>
      <c r="F158" s="113"/>
      <c r="G158" s="126"/>
      <c r="H158" s="53"/>
      <c r="I158" s="53"/>
    </row>
    <row r="159" spans="1:9" x14ac:dyDescent="0.25">
      <c r="A159" s="53"/>
      <c r="B159" s="53"/>
      <c r="C159" s="53"/>
      <c r="D159" s="53"/>
      <c r="E159" s="53"/>
      <c r="F159" s="113"/>
      <c r="G159" s="126"/>
      <c r="H159" s="53"/>
      <c r="I159" s="53"/>
    </row>
    <row r="160" spans="1:9" x14ac:dyDescent="0.25">
      <c r="A160" s="53"/>
      <c r="B160" s="53"/>
      <c r="C160" s="53"/>
      <c r="D160" s="53"/>
      <c r="E160" s="53"/>
      <c r="F160" s="113"/>
      <c r="G160" s="126"/>
      <c r="H160" s="53"/>
      <c r="I160" s="53"/>
    </row>
    <row r="161" spans="1:9" x14ac:dyDescent="0.25">
      <c r="A161" s="53"/>
      <c r="B161" s="53"/>
      <c r="C161" s="53"/>
      <c r="D161" s="53"/>
      <c r="E161" s="53"/>
      <c r="F161" s="113"/>
      <c r="G161" s="126"/>
      <c r="H161" s="53"/>
      <c r="I161" s="53"/>
    </row>
    <row r="162" spans="1:9" x14ac:dyDescent="0.25">
      <c r="A162" s="53"/>
      <c r="B162" s="53"/>
      <c r="C162" s="53"/>
      <c r="D162" s="53"/>
      <c r="E162" s="53"/>
      <c r="F162" s="113"/>
      <c r="G162" s="126"/>
      <c r="H162" s="53"/>
      <c r="I162" s="53"/>
    </row>
    <row r="163" spans="1:9" x14ac:dyDescent="0.25">
      <c r="A163" s="53"/>
      <c r="B163" s="53"/>
      <c r="C163" s="53"/>
      <c r="D163" s="53"/>
      <c r="E163" s="53"/>
      <c r="F163" s="113"/>
      <c r="G163" s="126"/>
      <c r="H163" s="53"/>
      <c r="I163" s="53"/>
    </row>
    <row r="164" spans="1:9" x14ac:dyDescent="0.25">
      <c r="A164" s="53"/>
      <c r="B164" s="53"/>
      <c r="C164" s="53"/>
      <c r="D164" s="53"/>
      <c r="E164" s="53"/>
      <c r="F164" s="113"/>
      <c r="G164" s="126"/>
      <c r="H164" s="53"/>
      <c r="I164" s="53"/>
    </row>
    <row r="165" spans="1:9" x14ac:dyDescent="0.25">
      <c r="A165" s="53"/>
      <c r="B165" s="53"/>
      <c r="C165" s="53"/>
      <c r="D165" s="53"/>
      <c r="E165" s="53"/>
      <c r="F165" s="113"/>
      <c r="G165" s="126"/>
      <c r="H165" s="53"/>
      <c r="I165" s="53"/>
    </row>
    <row r="166" spans="1:9" x14ac:dyDescent="0.25">
      <c r="A166" s="53"/>
      <c r="B166" s="53"/>
      <c r="C166" s="53"/>
      <c r="D166" s="53"/>
      <c r="E166" s="53"/>
      <c r="F166" s="113"/>
      <c r="G166" s="126"/>
      <c r="H166" s="53"/>
      <c r="I166" s="53"/>
    </row>
    <row r="167" spans="1:9" x14ac:dyDescent="0.25">
      <c r="A167" s="53"/>
      <c r="B167" s="53"/>
      <c r="C167" s="53"/>
      <c r="D167" s="53"/>
      <c r="E167" s="53"/>
      <c r="F167" s="113"/>
      <c r="G167" s="126"/>
      <c r="H167" s="53"/>
      <c r="I167" s="53"/>
    </row>
    <row r="168" spans="1:9" x14ac:dyDescent="0.25">
      <c r="A168" s="53"/>
      <c r="B168" s="53"/>
      <c r="C168" s="53"/>
      <c r="D168" s="53"/>
      <c r="E168" s="53"/>
      <c r="F168" s="113"/>
      <c r="G168" s="126"/>
      <c r="H168" s="53"/>
      <c r="I168" s="53"/>
    </row>
    <row r="169" spans="1:9" x14ac:dyDescent="0.25">
      <c r="A169" s="53"/>
      <c r="B169" s="53"/>
      <c r="C169" s="53"/>
      <c r="D169" s="53"/>
      <c r="E169" s="53"/>
      <c r="F169" s="113"/>
      <c r="G169" s="126"/>
      <c r="H169" s="53"/>
      <c r="I169" s="53"/>
    </row>
    <row r="170" spans="1:9" x14ac:dyDescent="0.25">
      <c r="A170" s="53"/>
      <c r="B170" s="53"/>
      <c r="C170" s="53"/>
      <c r="D170" s="53"/>
      <c r="E170" s="53"/>
      <c r="F170" s="113"/>
      <c r="G170" s="126"/>
      <c r="H170" s="53"/>
      <c r="I170" s="53"/>
    </row>
    <row r="171" spans="1:9" x14ac:dyDescent="0.25">
      <c r="A171" s="53"/>
      <c r="B171" s="53"/>
      <c r="C171" s="53"/>
      <c r="D171" s="53"/>
      <c r="E171" s="53"/>
      <c r="F171" s="113"/>
      <c r="G171" s="126"/>
      <c r="H171" s="53"/>
      <c r="I171" s="53"/>
    </row>
    <row r="172" spans="1:9" x14ac:dyDescent="0.25">
      <c r="A172" s="53"/>
      <c r="B172" s="53"/>
      <c r="C172" s="53"/>
      <c r="D172" s="53"/>
      <c r="E172" s="53"/>
      <c r="F172" s="113"/>
      <c r="G172" s="126"/>
      <c r="H172" s="53"/>
      <c r="I172" s="53"/>
    </row>
    <row r="173" spans="1:9" x14ac:dyDescent="0.25">
      <c r="A173" s="53"/>
      <c r="B173" s="53"/>
      <c r="C173" s="53"/>
      <c r="D173" s="53"/>
      <c r="E173" s="53"/>
      <c r="F173" s="113"/>
      <c r="G173" s="126"/>
      <c r="H173" s="53"/>
      <c r="I173" s="53"/>
    </row>
    <row r="174" spans="1:9" x14ac:dyDescent="0.25">
      <c r="A174" s="53"/>
      <c r="B174" s="53"/>
      <c r="C174" s="53"/>
      <c r="D174" s="53"/>
      <c r="E174" s="53"/>
      <c r="F174" s="113"/>
      <c r="G174" s="126"/>
      <c r="H174" s="53"/>
      <c r="I174" s="53"/>
    </row>
    <row r="175" spans="1:9" x14ac:dyDescent="0.25">
      <c r="A175" s="53"/>
      <c r="B175" s="53"/>
      <c r="C175" s="53"/>
      <c r="D175" s="53"/>
      <c r="E175" s="53"/>
      <c r="F175" s="113"/>
      <c r="G175" s="126"/>
      <c r="H175" s="53"/>
      <c r="I175" s="53"/>
    </row>
    <row r="176" spans="1:9" x14ac:dyDescent="0.25">
      <c r="A176" s="53"/>
      <c r="B176" s="53"/>
      <c r="C176" s="53"/>
      <c r="D176" s="53"/>
      <c r="E176" s="53"/>
      <c r="F176" s="113"/>
      <c r="G176" s="126"/>
      <c r="H176" s="53"/>
      <c r="I176" s="53"/>
    </row>
    <row r="177" spans="1:9" x14ac:dyDescent="0.25">
      <c r="A177" s="53"/>
      <c r="B177" s="53"/>
      <c r="C177" s="53"/>
      <c r="D177" s="53"/>
      <c r="E177" s="53"/>
      <c r="F177" s="113"/>
      <c r="G177" s="126"/>
      <c r="H177" s="53"/>
      <c r="I177" s="53"/>
    </row>
    <row r="178" spans="1:9" x14ac:dyDescent="0.25">
      <c r="A178" s="53"/>
      <c r="B178" s="53"/>
      <c r="C178" s="53"/>
      <c r="D178" s="53"/>
      <c r="E178" s="53"/>
      <c r="F178" s="113"/>
      <c r="G178" s="126"/>
      <c r="H178" s="53"/>
      <c r="I178" s="53"/>
    </row>
    <row r="179" spans="1:9" x14ac:dyDescent="0.25">
      <c r="A179" s="53"/>
      <c r="B179" s="53"/>
      <c r="C179" s="53"/>
      <c r="D179" s="53"/>
      <c r="E179" s="53"/>
      <c r="F179" s="113"/>
      <c r="G179" s="126"/>
      <c r="H179" s="53"/>
      <c r="I179" s="53"/>
    </row>
    <row r="180" spans="1:9" x14ac:dyDescent="0.25">
      <c r="A180" s="53"/>
      <c r="B180" s="53"/>
      <c r="C180" s="53"/>
      <c r="D180" s="53"/>
      <c r="E180" s="53"/>
      <c r="F180" s="113"/>
      <c r="G180" s="126"/>
      <c r="H180" s="53"/>
      <c r="I180" s="53"/>
    </row>
    <row r="181" spans="1:9" x14ac:dyDescent="0.25">
      <c r="A181" s="53"/>
      <c r="B181" s="53"/>
      <c r="C181" s="53"/>
      <c r="D181" s="53"/>
      <c r="E181" s="53"/>
      <c r="F181" s="113"/>
      <c r="G181" s="126"/>
      <c r="H181" s="53"/>
      <c r="I181" s="53"/>
    </row>
    <row r="182" spans="1:9" x14ac:dyDescent="0.25">
      <c r="A182" s="53"/>
      <c r="B182" s="53"/>
      <c r="C182" s="53"/>
      <c r="D182" s="53"/>
      <c r="E182" s="53"/>
      <c r="F182" s="113"/>
      <c r="G182" s="126"/>
      <c r="H182" s="53"/>
      <c r="I182" s="53"/>
    </row>
    <row r="183" spans="1:9" x14ac:dyDescent="0.25">
      <c r="A183" s="53"/>
      <c r="B183" s="53"/>
      <c r="C183" s="53"/>
      <c r="D183" s="53"/>
      <c r="E183" s="53"/>
      <c r="F183" s="113"/>
      <c r="G183" s="126"/>
      <c r="H183" s="53"/>
      <c r="I183" s="53"/>
    </row>
    <row r="184" spans="1:9" x14ac:dyDescent="0.25">
      <c r="A184" s="53"/>
      <c r="B184" s="53"/>
      <c r="C184" s="53"/>
      <c r="D184" s="53"/>
      <c r="E184" s="53"/>
      <c r="F184" s="113"/>
      <c r="G184" s="126"/>
      <c r="H184" s="53"/>
      <c r="I184" s="53"/>
    </row>
    <row r="185" spans="1:9" x14ac:dyDescent="0.25">
      <c r="A185" s="53"/>
      <c r="B185" s="53"/>
      <c r="C185" s="53"/>
      <c r="D185" s="53"/>
      <c r="E185" s="53"/>
      <c r="F185" s="113"/>
      <c r="G185" s="126"/>
      <c r="H185" s="53"/>
      <c r="I185" s="53"/>
    </row>
    <row r="186" spans="1:9" x14ac:dyDescent="0.25">
      <c r="A186" s="53"/>
      <c r="B186" s="53"/>
      <c r="C186" s="53"/>
      <c r="D186" s="53"/>
      <c r="E186" s="53"/>
      <c r="F186" s="113"/>
      <c r="G186" s="126"/>
      <c r="H186" s="53"/>
      <c r="I186" s="53"/>
    </row>
    <row r="187" spans="1:9" x14ac:dyDescent="0.25">
      <c r="A187" s="53"/>
      <c r="B187" s="53"/>
      <c r="C187" s="53"/>
      <c r="D187" s="53"/>
      <c r="E187" s="53"/>
      <c r="F187" s="113"/>
      <c r="G187" s="126"/>
      <c r="H187" s="53"/>
      <c r="I187" s="53"/>
    </row>
    <row r="188" spans="1:9" x14ac:dyDescent="0.25">
      <c r="A188" s="53"/>
      <c r="B188" s="53"/>
      <c r="C188" s="53"/>
      <c r="D188" s="53"/>
      <c r="E188" s="53"/>
      <c r="F188" s="113"/>
      <c r="G188" s="126"/>
      <c r="H188" s="53"/>
      <c r="I188" s="53"/>
    </row>
    <row r="189" spans="1:9" x14ac:dyDescent="0.25">
      <c r="A189" s="53"/>
      <c r="B189" s="53"/>
      <c r="C189" s="53"/>
      <c r="D189" s="53"/>
      <c r="E189" s="53"/>
      <c r="F189" s="113"/>
      <c r="G189" s="126"/>
      <c r="H189" s="53"/>
      <c r="I189" s="53"/>
    </row>
    <row r="190" spans="1:9" x14ac:dyDescent="0.25">
      <c r="A190" s="53"/>
      <c r="B190" s="53"/>
      <c r="C190" s="53"/>
      <c r="D190" s="53"/>
      <c r="E190" s="53"/>
      <c r="F190" s="113"/>
      <c r="G190" s="126"/>
      <c r="H190" s="53"/>
      <c r="I190" s="53"/>
    </row>
    <row r="191" spans="1:9" x14ac:dyDescent="0.25">
      <c r="A191" s="53"/>
      <c r="B191" s="53"/>
      <c r="C191" s="53"/>
      <c r="D191" s="53"/>
      <c r="E191" s="53"/>
      <c r="F191" s="113"/>
      <c r="G191" s="126"/>
      <c r="H191" s="53"/>
      <c r="I191" s="53"/>
    </row>
    <row r="192" spans="1:9" x14ac:dyDescent="0.25">
      <c r="A192" s="53"/>
      <c r="B192" s="53"/>
      <c r="C192" s="53"/>
      <c r="D192" s="53"/>
      <c r="E192" s="53"/>
      <c r="F192" s="113"/>
      <c r="G192" s="126"/>
      <c r="H192" s="53"/>
      <c r="I192" s="53"/>
    </row>
    <row r="193" spans="1:9" x14ac:dyDescent="0.25">
      <c r="A193" s="53"/>
      <c r="B193" s="53"/>
      <c r="C193" s="53"/>
      <c r="D193" s="53"/>
      <c r="E193" s="53"/>
      <c r="F193" s="113"/>
      <c r="G193" s="126"/>
      <c r="H193" s="53"/>
      <c r="I193" s="53"/>
    </row>
    <row r="194" spans="1:9" x14ac:dyDescent="0.25">
      <c r="A194" s="53"/>
      <c r="B194" s="53"/>
      <c r="C194" s="53"/>
      <c r="D194" s="53"/>
      <c r="E194" s="53"/>
      <c r="F194" s="113"/>
      <c r="G194" s="126"/>
      <c r="H194" s="53"/>
      <c r="I194" s="53"/>
    </row>
    <row r="195" spans="1:9" x14ac:dyDescent="0.25">
      <c r="A195" s="53"/>
      <c r="B195" s="53"/>
      <c r="C195" s="53"/>
      <c r="D195" s="53"/>
      <c r="E195" s="53"/>
      <c r="F195" s="113"/>
      <c r="G195" s="126"/>
      <c r="H195" s="53"/>
      <c r="I195" s="53"/>
    </row>
    <row r="196" spans="1:9" x14ac:dyDescent="0.25">
      <c r="A196" s="53"/>
      <c r="B196" s="53"/>
      <c r="C196" s="53"/>
      <c r="D196" s="53"/>
      <c r="E196" s="53"/>
      <c r="F196" s="113"/>
      <c r="G196" s="126"/>
      <c r="H196" s="53"/>
      <c r="I196" s="53"/>
    </row>
    <row r="197" spans="1:9" x14ac:dyDescent="0.25">
      <c r="A197" s="53"/>
      <c r="B197" s="53"/>
      <c r="C197" s="53"/>
      <c r="D197" s="53"/>
      <c r="E197" s="53"/>
      <c r="F197" s="113"/>
      <c r="G197" s="126"/>
      <c r="H197" s="53"/>
      <c r="I197" s="53"/>
    </row>
    <row r="198" spans="1:9" x14ac:dyDescent="0.25">
      <c r="A198" s="53"/>
      <c r="B198" s="53"/>
      <c r="C198" s="53"/>
      <c r="D198" s="53"/>
      <c r="E198" s="53"/>
      <c r="F198" s="113"/>
      <c r="G198" s="126"/>
      <c r="H198" s="53"/>
      <c r="I198" s="53"/>
    </row>
    <row r="199" spans="1:9" x14ac:dyDescent="0.25">
      <c r="A199" s="53"/>
      <c r="B199" s="53"/>
      <c r="C199" s="53"/>
      <c r="D199" s="53"/>
      <c r="E199" s="53"/>
      <c r="F199" s="113"/>
      <c r="G199" s="126"/>
      <c r="H199" s="53"/>
      <c r="I199" s="53"/>
    </row>
    <row r="200" spans="1:9" x14ac:dyDescent="0.25">
      <c r="A200" s="53"/>
      <c r="B200" s="53"/>
      <c r="C200" s="53"/>
      <c r="D200" s="53"/>
      <c r="E200" s="53"/>
      <c r="F200" s="113"/>
      <c r="G200" s="126"/>
      <c r="H200" s="53"/>
      <c r="I200" s="53"/>
    </row>
    <row r="201" spans="1:9" x14ac:dyDescent="0.25">
      <c r="A201" s="53"/>
      <c r="B201" s="53"/>
      <c r="C201" s="53"/>
      <c r="D201" s="53"/>
      <c r="E201" s="53"/>
      <c r="F201" s="113"/>
      <c r="G201" s="126"/>
      <c r="H201" s="53"/>
      <c r="I201" s="53"/>
    </row>
    <row r="202" spans="1:9" x14ac:dyDescent="0.25">
      <c r="A202" s="53"/>
      <c r="B202" s="53"/>
      <c r="C202" s="53"/>
      <c r="D202" s="53"/>
      <c r="E202" s="53"/>
      <c r="F202" s="113"/>
      <c r="G202" s="126"/>
      <c r="H202" s="53"/>
      <c r="I202" s="53"/>
    </row>
    <row r="203" spans="1:9" x14ac:dyDescent="0.25">
      <c r="A203" s="53"/>
      <c r="B203" s="53"/>
      <c r="C203" s="53"/>
      <c r="D203" s="53"/>
      <c r="E203" s="53"/>
      <c r="F203" s="113"/>
      <c r="G203" s="126"/>
      <c r="H203" s="53"/>
      <c r="I203" s="53"/>
    </row>
    <row r="204" spans="1:9" x14ac:dyDescent="0.25">
      <c r="A204" s="53"/>
      <c r="B204" s="53"/>
      <c r="C204" s="53"/>
      <c r="D204" s="53"/>
      <c r="E204" s="53"/>
      <c r="F204" s="113"/>
      <c r="G204" s="126"/>
      <c r="H204" s="53"/>
      <c r="I204" s="53"/>
    </row>
    <row r="205" spans="1:9" x14ac:dyDescent="0.25">
      <c r="A205" s="53"/>
      <c r="B205" s="53"/>
      <c r="C205" s="53"/>
      <c r="D205" s="53"/>
      <c r="E205" s="53"/>
      <c r="F205" s="113"/>
      <c r="G205" s="126"/>
      <c r="H205" s="53"/>
      <c r="I205" s="53"/>
    </row>
    <row r="206" spans="1:9" x14ac:dyDescent="0.25">
      <c r="A206" s="53"/>
      <c r="B206" s="53"/>
      <c r="C206" s="53"/>
      <c r="D206" s="53"/>
      <c r="E206" s="53"/>
      <c r="F206" s="113"/>
      <c r="G206" s="126"/>
      <c r="H206" s="53"/>
      <c r="I206" s="53"/>
    </row>
    <row r="207" spans="1:9" x14ac:dyDescent="0.25">
      <c r="A207" s="53"/>
      <c r="B207" s="53"/>
      <c r="C207" s="53"/>
      <c r="D207" s="53"/>
      <c r="E207" s="53"/>
      <c r="F207" s="113"/>
      <c r="G207" s="126"/>
      <c r="H207" s="53"/>
      <c r="I207" s="53"/>
    </row>
    <row r="208" spans="1:9" x14ac:dyDescent="0.25">
      <c r="A208" s="53"/>
      <c r="B208" s="53"/>
      <c r="C208" s="53"/>
      <c r="D208" s="53"/>
      <c r="E208" s="53"/>
      <c r="F208" s="113"/>
      <c r="G208" s="126"/>
      <c r="H208" s="53"/>
      <c r="I208" s="53"/>
    </row>
    <row r="209" spans="1:9" x14ac:dyDescent="0.25">
      <c r="A209" s="53"/>
      <c r="B209" s="53"/>
      <c r="C209" s="53"/>
      <c r="D209" s="53"/>
      <c r="E209" s="53"/>
      <c r="F209" s="113"/>
      <c r="G209" s="126"/>
      <c r="H209" s="53"/>
      <c r="I209" s="53"/>
    </row>
    <row r="210" spans="1:9" x14ac:dyDescent="0.25">
      <c r="A210" s="53"/>
      <c r="B210" s="53"/>
      <c r="C210" s="53"/>
      <c r="D210" s="53"/>
      <c r="E210" s="53"/>
      <c r="F210" s="113"/>
      <c r="G210" s="126"/>
      <c r="H210" s="53"/>
      <c r="I210" s="53"/>
    </row>
    <row r="211" spans="1:9" x14ac:dyDescent="0.25">
      <c r="A211" s="53"/>
      <c r="B211" s="53"/>
      <c r="C211" s="53"/>
      <c r="D211" s="53"/>
      <c r="E211" s="53"/>
      <c r="F211" s="113"/>
      <c r="G211" s="126"/>
      <c r="H211" s="53"/>
      <c r="I211" s="53"/>
    </row>
    <row r="212" spans="1:9" x14ac:dyDescent="0.25">
      <c r="A212" s="53"/>
      <c r="B212" s="53"/>
      <c r="C212" s="53"/>
      <c r="D212" s="53"/>
      <c r="E212" s="53"/>
      <c r="F212" s="113"/>
      <c r="G212" s="126"/>
      <c r="H212" s="53"/>
      <c r="I212" s="53"/>
    </row>
    <row r="213" spans="1:9" x14ac:dyDescent="0.25">
      <c r="A213" s="53"/>
      <c r="B213" s="53"/>
      <c r="C213" s="53"/>
      <c r="D213" s="53"/>
      <c r="E213" s="53"/>
      <c r="F213" s="113"/>
      <c r="G213" s="126"/>
      <c r="H213" s="53"/>
      <c r="I213" s="53"/>
    </row>
    <row r="214" spans="1:9" x14ac:dyDescent="0.25">
      <c r="A214" s="53"/>
      <c r="B214" s="53"/>
      <c r="C214" s="53"/>
      <c r="D214" s="53"/>
      <c r="E214" s="53"/>
      <c r="F214" s="113"/>
      <c r="G214" s="126"/>
      <c r="H214" s="53"/>
      <c r="I214" s="53"/>
    </row>
    <row r="215" spans="1:9" x14ac:dyDescent="0.25">
      <c r="A215" s="53"/>
      <c r="B215" s="53"/>
      <c r="C215" s="53"/>
      <c r="D215" s="53"/>
      <c r="E215" s="53"/>
      <c r="F215" s="113"/>
      <c r="G215" s="126"/>
      <c r="H215" s="53"/>
      <c r="I215" s="53"/>
    </row>
    <row r="216" spans="1:9" x14ac:dyDescent="0.25">
      <c r="A216" s="53"/>
      <c r="B216" s="53"/>
      <c r="C216" s="53"/>
      <c r="D216" s="53"/>
      <c r="E216" s="53"/>
      <c r="F216" s="113"/>
      <c r="G216" s="126"/>
      <c r="H216" s="53"/>
      <c r="I216" s="53"/>
    </row>
    <row r="217" spans="1:9" x14ac:dyDescent="0.25">
      <c r="A217" s="53"/>
      <c r="B217" s="53"/>
      <c r="C217" s="53"/>
      <c r="D217" s="53"/>
      <c r="E217" s="53"/>
      <c r="F217" s="113"/>
      <c r="G217" s="126"/>
      <c r="H217" s="53"/>
      <c r="I217" s="53"/>
    </row>
    <row r="218" spans="1:9" x14ac:dyDescent="0.25">
      <c r="A218" s="53"/>
      <c r="B218" s="53"/>
      <c r="C218" s="53"/>
      <c r="D218" s="53"/>
      <c r="E218" s="53"/>
      <c r="F218" s="113"/>
      <c r="G218" s="126"/>
      <c r="H218" s="53"/>
      <c r="I218" s="53"/>
    </row>
    <row r="219" spans="1:9" x14ac:dyDescent="0.25">
      <c r="A219" s="53"/>
      <c r="B219" s="53"/>
      <c r="C219" s="53"/>
      <c r="D219" s="53"/>
      <c r="E219" s="53"/>
      <c r="F219" s="113"/>
      <c r="G219" s="126"/>
      <c r="H219" s="53"/>
      <c r="I219" s="53"/>
    </row>
    <row r="220" spans="1:9" x14ac:dyDescent="0.25">
      <c r="A220" s="53"/>
      <c r="B220" s="53"/>
      <c r="C220" s="53"/>
      <c r="D220" s="53"/>
      <c r="E220" s="53"/>
      <c r="F220" s="113"/>
      <c r="G220" s="126"/>
      <c r="H220" s="53"/>
      <c r="I220" s="53"/>
    </row>
    <row r="221" spans="1:9" x14ac:dyDescent="0.25">
      <c r="A221" s="53"/>
      <c r="B221" s="53"/>
      <c r="C221" s="53"/>
      <c r="D221" s="53"/>
      <c r="E221" s="53"/>
      <c r="F221" s="113"/>
      <c r="G221" s="126"/>
      <c r="H221" s="53"/>
      <c r="I221" s="53"/>
    </row>
    <row r="222" spans="1:9" x14ac:dyDescent="0.25">
      <c r="A222" s="53"/>
      <c r="B222" s="53"/>
      <c r="C222" s="53"/>
      <c r="D222" s="53"/>
      <c r="E222" s="53"/>
      <c r="F222" s="113"/>
      <c r="G222" s="126"/>
      <c r="H222" s="53"/>
      <c r="I222" s="53"/>
    </row>
    <row r="223" spans="1:9" x14ac:dyDescent="0.25">
      <c r="A223" s="53"/>
      <c r="B223" s="53"/>
      <c r="C223" s="53"/>
      <c r="D223" s="53"/>
      <c r="E223" s="53"/>
      <c r="F223" s="113"/>
      <c r="G223" s="126"/>
      <c r="H223" s="53"/>
      <c r="I223" s="53"/>
    </row>
    <row r="224" spans="1:9" x14ac:dyDescent="0.25">
      <c r="A224" s="53"/>
      <c r="B224" s="53"/>
      <c r="C224" s="53"/>
      <c r="D224" s="53"/>
      <c r="E224" s="53"/>
      <c r="F224" s="113"/>
      <c r="G224" s="126"/>
      <c r="H224" s="53"/>
      <c r="I224" s="53"/>
    </row>
    <row r="225" spans="1:9" x14ac:dyDescent="0.25">
      <c r="A225" s="53"/>
      <c r="B225" s="53"/>
      <c r="C225" s="53"/>
      <c r="D225" s="53"/>
      <c r="E225" s="53"/>
      <c r="F225" s="113"/>
      <c r="G225" s="126"/>
      <c r="H225" s="53"/>
      <c r="I225" s="53"/>
    </row>
    <row r="226" spans="1:9" x14ac:dyDescent="0.25">
      <c r="A226" s="53"/>
      <c r="B226" s="53"/>
      <c r="C226" s="53"/>
      <c r="D226" s="53"/>
      <c r="E226" s="53"/>
      <c r="F226" s="113"/>
      <c r="G226" s="126"/>
      <c r="H226" s="53"/>
      <c r="I226" s="53"/>
    </row>
    <row r="227" spans="1:9" x14ac:dyDescent="0.25">
      <c r="A227" s="53"/>
      <c r="B227" s="53"/>
      <c r="C227" s="53"/>
      <c r="D227" s="53"/>
      <c r="E227" s="53"/>
      <c r="F227" s="113"/>
      <c r="G227" s="126"/>
      <c r="H227" s="53"/>
      <c r="I227" s="53"/>
    </row>
    <row r="228" spans="1:9" x14ac:dyDescent="0.25">
      <c r="A228" s="53"/>
      <c r="B228" s="53"/>
      <c r="C228" s="53"/>
      <c r="D228" s="53"/>
      <c r="E228" s="53"/>
      <c r="F228" s="113"/>
      <c r="G228" s="126"/>
      <c r="H228" s="53"/>
      <c r="I228" s="53"/>
    </row>
    <row r="229" spans="1:9" x14ac:dyDescent="0.25">
      <c r="A229" s="53"/>
      <c r="B229" s="53"/>
      <c r="C229" s="53"/>
      <c r="D229" s="53"/>
      <c r="E229" s="53"/>
      <c r="F229" s="113"/>
      <c r="G229" s="126"/>
      <c r="H229" s="53"/>
      <c r="I229" s="53"/>
    </row>
    <row r="230" spans="1:9" x14ac:dyDescent="0.25">
      <c r="A230" s="53"/>
      <c r="B230" s="53"/>
      <c r="C230" s="53"/>
      <c r="D230" s="53"/>
      <c r="E230" s="53"/>
      <c r="F230" s="113"/>
      <c r="G230" s="126"/>
      <c r="H230" s="53"/>
      <c r="I230" s="53"/>
    </row>
    <row r="231" spans="1:9" x14ac:dyDescent="0.25">
      <c r="A231" s="53"/>
      <c r="B231" s="53"/>
      <c r="C231" s="53"/>
      <c r="D231" s="53"/>
      <c r="E231" s="53"/>
      <c r="F231" s="113"/>
      <c r="G231" s="126"/>
      <c r="H231" s="53"/>
      <c r="I231" s="53"/>
    </row>
    <row r="232" spans="1:9" x14ac:dyDescent="0.25">
      <c r="A232" s="53"/>
      <c r="B232" s="53"/>
      <c r="C232" s="53"/>
      <c r="D232" s="53"/>
      <c r="E232" s="53"/>
      <c r="F232" s="113"/>
      <c r="G232" s="126"/>
      <c r="H232" s="53"/>
      <c r="I232" s="53"/>
    </row>
    <row r="233" spans="1:9" x14ac:dyDescent="0.25">
      <c r="A233" s="53"/>
      <c r="B233" s="53"/>
      <c r="C233" s="53"/>
      <c r="D233" s="53"/>
      <c r="E233" s="53"/>
      <c r="F233" s="113"/>
      <c r="G233" s="126"/>
      <c r="H233" s="53"/>
      <c r="I233" s="53"/>
    </row>
    <row r="234" spans="1:9" x14ac:dyDescent="0.25">
      <c r="A234" s="53"/>
      <c r="B234" s="53"/>
      <c r="C234" s="53"/>
      <c r="D234" s="53"/>
      <c r="E234" s="53"/>
      <c r="F234" s="113"/>
      <c r="G234" s="126"/>
      <c r="H234" s="53"/>
      <c r="I234" s="53"/>
    </row>
    <row r="235" spans="1:9" x14ac:dyDescent="0.25">
      <c r="A235" s="53"/>
      <c r="B235" s="53"/>
      <c r="C235" s="53"/>
      <c r="D235" s="53"/>
      <c r="E235" s="53"/>
      <c r="F235" s="113"/>
      <c r="G235" s="126"/>
      <c r="H235" s="53"/>
      <c r="I235" s="53"/>
    </row>
    <row r="236" spans="1:9" x14ac:dyDescent="0.25">
      <c r="A236" s="53"/>
      <c r="B236" s="53"/>
      <c r="C236" s="53"/>
      <c r="D236" s="53"/>
      <c r="E236" s="53"/>
      <c r="F236" s="113"/>
      <c r="G236" s="126"/>
      <c r="H236" s="53"/>
      <c r="I236" s="53"/>
    </row>
    <row r="237" spans="1:9" x14ac:dyDescent="0.25">
      <c r="A237" s="53"/>
      <c r="B237" s="53"/>
      <c r="C237" s="53"/>
      <c r="D237" s="53"/>
      <c r="E237" s="53"/>
      <c r="F237" s="113"/>
      <c r="G237" s="126"/>
      <c r="H237" s="53"/>
      <c r="I237" s="53"/>
    </row>
    <row r="238" spans="1:9" x14ac:dyDescent="0.25">
      <c r="A238" s="53"/>
      <c r="B238" s="53"/>
      <c r="C238" s="53"/>
      <c r="D238" s="53"/>
      <c r="E238" s="53"/>
      <c r="F238" s="113"/>
      <c r="G238" s="126"/>
      <c r="H238" s="53"/>
      <c r="I238" s="53"/>
    </row>
    <row r="239" spans="1:9" x14ac:dyDescent="0.25">
      <c r="A239" s="53"/>
      <c r="B239" s="53"/>
      <c r="C239" s="53"/>
      <c r="D239" s="53"/>
      <c r="E239" s="53"/>
      <c r="F239" s="113"/>
      <c r="G239" s="126"/>
      <c r="H239" s="53"/>
      <c r="I239" s="53"/>
    </row>
    <row r="240" spans="1:9" x14ac:dyDescent="0.25">
      <c r="A240" s="53"/>
      <c r="B240" s="53"/>
      <c r="C240" s="53"/>
      <c r="D240" s="53"/>
      <c r="E240" s="53"/>
      <c r="F240" s="113"/>
      <c r="G240" s="126"/>
      <c r="H240" s="53"/>
      <c r="I240" s="53"/>
    </row>
    <row r="241" spans="1:9" x14ac:dyDescent="0.25">
      <c r="A241" s="53"/>
      <c r="B241" s="53"/>
      <c r="C241" s="53"/>
      <c r="D241" s="53"/>
      <c r="E241" s="53"/>
      <c r="F241" s="113"/>
      <c r="G241" s="126"/>
      <c r="H241" s="53"/>
      <c r="I241" s="53"/>
    </row>
    <row r="242" spans="1:9" x14ac:dyDescent="0.25">
      <c r="A242" s="53"/>
      <c r="B242" s="53"/>
      <c r="C242" s="53"/>
      <c r="D242" s="53"/>
      <c r="E242" s="53"/>
      <c r="F242" s="113"/>
      <c r="G242" s="126"/>
      <c r="H242" s="53"/>
      <c r="I242" s="53"/>
    </row>
    <row r="243" spans="1:9" x14ac:dyDescent="0.25">
      <c r="A243" s="53"/>
      <c r="B243" s="53"/>
      <c r="C243" s="53"/>
      <c r="D243" s="53"/>
      <c r="E243" s="53"/>
      <c r="F243" s="113"/>
      <c r="G243" s="126"/>
      <c r="H243" s="53"/>
      <c r="I243" s="53"/>
    </row>
    <row r="244" spans="1:9" x14ac:dyDescent="0.25">
      <c r="A244" s="53"/>
      <c r="B244" s="53"/>
      <c r="C244" s="53"/>
      <c r="D244" s="53"/>
      <c r="E244" s="53"/>
      <c r="F244" s="113"/>
      <c r="G244" s="126"/>
      <c r="H244" s="53"/>
      <c r="I244" s="53"/>
    </row>
    <row r="245" spans="1:9" x14ac:dyDescent="0.25">
      <c r="A245" s="53"/>
      <c r="B245" s="53"/>
      <c r="C245" s="53"/>
      <c r="D245" s="53"/>
      <c r="E245" s="53"/>
      <c r="F245" s="113"/>
      <c r="G245" s="126"/>
      <c r="H245" s="53"/>
      <c r="I245" s="53"/>
    </row>
    <row r="246" spans="1:9" x14ac:dyDescent="0.25">
      <c r="A246" s="53"/>
      <c r="B246" s="53"/>
      <c r="C246" s="53"/>
      <c r="D246" s="53"/>
      <c r="E246" s="53"/>
      <c r="F246" s="113"/>
      <c r="G246" s="126"/>
      <c r="H246" s="53"/>
      <c r="I246" s="53"/>
    </row>
    <row r="247" spans="1:9" x14ac:dyDescent="0.25">
      <c r="A247" s="53"/>
      <c r="B247" s="53"/>
      <c r="C247" s="53"/>
      <c r="D247" s="53"/>
      <c r="E247" s="53"/>
      <c r="F247" s="113"/>
      <c r="G247" s="126"/>
      <c r="H247" s="53"/>
      <c r="I247" s="53"/>
    </row>
    <row r="248" spans="1:9" x14ac:dyDescent="0.25">
      <c r="A248" s="53"/>
      <c r="B248" s="53"/>
      <c r="C248" s="53"/>
      <c r="D248" s="53"/>
      <c r="E248" s="53"/>
      <c r="F248" s="113"/>
      <c r="G248" s="126"/>
      <c r="H248" s="53"/>
      <c r="I248" s="53"/>
    </row>
    <row r="249" spans="1:9" x14ac:dyDescent="0.25">
      <c r="A249" s="53"/>
      <c r="B249" s="53"/>
      <c r="C249" s="53"/>
      <c r="D249" s="53"/>
      <c r="E249" s="53"/>
      <c r="F249" s="113"/>
      <c r="G249" s="126"/>
      <c r="H249" s="53"/>
      <c r="I249" s="53"/>
    </row>
    <row r="250" spans="1:9" x14ac:dyDescent="0.25">
      <c r="A250" s="53"/>
      <c r="B250" s="53"/>
      <c r="C250" s="53"/>
      <c r="D250" s="53"/>
      <c r="E250" s="53"/>
      <c r="F250" s="113"/>
      <c r="G250" s="126"/>
      <c r="H250" s="53"/>
      <c r="I250" s="53"/>
    </row>
    <row r="251" spans="1:9" x14ac:dyDescent="0.25">
      <c r="A251" s="53"/>
      <c r="B251" s="53"/>
      <c r="C251" s="53"/>
      <c r="D251" s="53"/>
      <c r="E251" s="53"/>
      <c r="F251" s="113"/>
      <c r="G251" s="126"/>
      <c r="H251" s="53"/>
      <c r="I251" s="53"/>
    </row>
    <row r="252" spans="1:9" x14ac:dyDescent="0.25">
      <c r="A252" s="53"/>
      <c r="B252" s="53"/>
      <c r="C252" s="53"/>
      <c r="D252" s="53"/>
      <c r="E252" s="53"/>
      <c r="F252" s="113"/>
      <c r="G252" s="126"/>
      <c r="H252" s="53"/>
      <c r="I252" s="53"/>
    </row>
    <row r="253" spans="1:9" x14ac:dyDescent="0.25">
      <c r="A253" s="53"/>
      <c r="B253" s="53"/>
      <c r="C253" s="53"/>
      <c r="D253" s="53"/>
      <c r="E253" s="53"/>
      <c r="F253" s="113"/>
      <c r="G253" s="126"/>
      <c r="H253" s="53"/>
      <c r="I253" s="53"/>
    </row>
    <row r="254" spans="1:9" x14ac:dyDescent="0.25">
      <c r="A254" s="53"/>
      <c r="B254" s="53"/>
      <c r="C254" s="53"/>
      <c r="D254" s="53"/>
      <c r="E254" s="53"/>
      <c r="F254" s="113"/>
      <c r="G254" s="126"/>
      <c r="H254" s="53"/>
      <c r="I254" s="53"/>
    </row>
    <row r="255" spans="1:9" x14ac:dyDescent="0.25">
      <c r="A255" s="53"/>
      <c r="B255" s="53"/>
      <c r="C255" s="53"/>
      <c r="D255" s="53"/>
      <c r="E255" s="53"/>
      <c r="F255" s="113"/>
      <c r="G255" s="126"/>
      <c r="H255" s="53"/>
      <c r="I255" s="53"/>
    </row>
    <row r="256" spans="1:9" x14ac:dyDescent="0.25">
      <c r="A256" s="53"/>
      <c r="B256" s="53"/>
      <c r="C256" s="53"/>
      <c r="D256" s="53"/>
      <c r="E256" s="53"/>
      <c r="F256" s="113"/>
      <c r="G256" s="126"/>
      <c r="H256" s="53"/>
      <c r="I256" s="53"/>
    </row>
    <row r="257" spans="1:9" x14ac:dyDescent="0.25">
      <c r="A257" s="53"/>
      <c r="B257" s="53"/>
      <c r="C257" s="53"/>
      <c r="D257" s="53"/>
      <c r="E257" s="53"/>
      <c r="F257" s="113"/>
      <c r="G257" s="126"/>
      <c r="H257" s="53"/>
      <c r="I257" s="53"/>
    </row>
    <row r="258" spans="1:9" x14ac:dyDescent="0.25">
      <c r="A258" s="53"/>
      <c r="B258" s="53"/>
      <c r="C258" s="53"/>
      <c r="D258" s="53"/>
      <c r="E258" s="53"/>
      <c r="F258" s="113"/>
      <c r="G258" s="126"/>
      <c r="H258" s="53"/>
      <c r="I258" s="53"/>
    </row>
    <row r="259" spans="1:9" x14ac:dyDescent="0.25">
      <c r="A259" s="53"/>
      <c r="B259" s="53"/>
      <c r="C259" s="53"/>
      <c r="D259" s="53"/>
      <c r="E259" s="53"/>
      <c r="F259" s="113"/>
      <c r="G259" s="126"/>
      <c r="H259" s="53"/>
      <c r="I259" s="53"/>
    </row>
    <row r="260" spans="1:9" x14ac:dyDescent="0.25">
      <c r="A260" s="53"/>
      <c r="B260" s="53"/>
      <c r="C260" s="53"/>
      <c r="D260" s="53"/>
      <c r="E260" s="53"/>
      <c r="F260" s="113"/>
      <c r="G260" s="126"/>
      <c r="H260" s="53"/>
      <c r="I260" s="53"/>
    </row>
    <row r="261" spans="1:9" x14ac:dyDescent="0.25">
      <c r="A261" s="53"/>
      <c r="B261" s="53"/>
      <c r="C261" s="53"/>
      <c r="D261" s="53"/>
      <c r="E261" s="53"/>
      <c r="F261" s="113"/>
      <c r="G261" s="126"/>
      <c r="H261" s="53"/>
      <c r="I261" s="53"/>
    </row>
    <row r="262" spans="1:9" x14ac:dyDescent="0.25">
      <c r="A262" s="53"/>
      <c r="B262" s="53"/>
      <c r="C262" s="53"/>
      <c r="D262" s="53"/>
      <c r="E262" s="53"/>
      <c r="F262" s="113"/>
      <c r="G262" s="126"/>
      <c r="H262" s="53"/>
      <c r="I262" s="53"/>
    </row>
    <row r="263" spans="1:9" x14ac:dyDescent="0.25">
      <c r="A263" s="53"/>
      <c r="B263" s="53"/>
      <c r="C263" s="53"/>
      <c r="D263" s="53"/>
      <c r="E263" s="53"/>
      <c r="F263" s="113"/>
      <c r="G263" s="126"/>
      <c r="H263" s="53"/>
      <c r="I263" s="53"/>
    </row>
    <row r="264" spans="1:9" x14ac:dyDescent="0.25">
      <c r="A264" s="53"/>
      <c r="B264" s="53"/>
      <c r="C264" s="53"/>
      <c r="D264" s="53"/>
      <c r="E264" s="53"/>
      <c r="F264" s="113"/>
      <c r="G264" s="126"/>
      <c r="H264" s="53"/>
      <c r="I264" s="53"/>
    </row>
    <row r="265" spans="1:9" x14ac:dyDescent="0.25">
      <c r="A265" s="53"/>
      <c r="B265" s="53"/>
      <c r="C265" s="53"/>
      <c r="D265" s="53"/>
      <c r="E265" s="53"/>
      <c r="F265" s="113"/>
      <c r="G265" s="126"/>
      <c r="H265" s="53"/>
      <c r="I265" s="53"/>
    </row>
    <row r="266" spans="1:9" x14ac:dyDescent="0.25">
      <c r="A266" s="53"/>
      <c r="B266" s="53"/>
      <c r="C266" s="53"/>
      <c r="D266" s="53"/>
      <c r="E266" s="53"/>
      <c r="F266" s="113"/>
      <c r="G266" s="126"/>
      <c r="H266" s="53"/>
      <c r="I266" s="53"/>
    </row>
    <row r="267" spans="1:9" x14ac:dyDescent="0.25">
      <c r="A267" s="53"/>
      <c r="B267" s="53"/>
      <c r="C267" s="53"/>
      <c r="D267" s="53"/>
      <c r="E267" s="53"/>
      <c r="F267" s="113"/>
      <c r="G267" s="126"/>
      <c r="H267" s="53"/>
      <c r="I267" s="53"/>
    </row>
    <row r="268" spans="1:9" x14ac:dyDescent="0.25">
      <c r="A268" s="53"/>
      <c r="B268" s="53"/>
      <c r="C268" s="53"/>
      <c r="D268" s="53"/>
      <c r="E268" s="53"/>
      <c r="F268" s="113"/>
      <c r="G268" s="126"/>
      <c r="H268" s="53"/>
      <c r="I268" s="53"/>
    </row>
    <row r="269" spans="1:9" x14ac:dyDescent="0.25">
      <c r="A269" s="53"/>
      <c r="B269" s="53"/>
      <c r="C269" s="53"/>
      <c r="D269" s="53"/>
      <c r="E269" s="53"/>
      <c r="F269" s="113"/>
      <c r="G269" s="126"/>
      <c r="H269" s="53"/>
      <c r="I269" s="53"/>
    </row>
    <row r="270" spans="1:9" x14ac:dyDescent="0.25">
      <c r="A270" s="53"/>
      <c r="B270" s="53"/>
      <c r="C270" s="53"/>
      <c r="D270" s="53"/>
      <c r="E270" s="53"/>
      <c r="F270" s="113"/>
      <c r="G270" s="126"/>
      <c r="H270" s="53"/>
      <c r="I270" s="53"/>
    </row>
    <row r="271" spans="1:9" x14ac:dyDescent="0.25">
      <c r="A271" s="53"/>
      <c r="B271" s="53"/>
      <c r="C271" s="53"/>
      <c r="D271" s="53"/>
      <c r="E271" s="53"/>
      <c r="F271" s="113"/>
      <c r="G271" s="126"/>
      <c r="H271" s="53"/>
      <c r="I271" s="53"/>
    </row>
    <row r="272" spans="1:9" x14ac:dyDescent="0.25">
      <c r="A272" s="53"/>
      <c r="B272" s="53"/>
      <c r="C272" s="53"/>
      <c r="D272" s="53"/>
      <c r="E272" s="53"/>
      <c r="F272" s="113"/>
      <c r="G272" s="126"/>
      <c r="H272" s="53"/>
      <c r="I272" s="53"/>
    </row>
    <row r="273" spans="1:9" x14ac:dyDescent="0.25">
      <c r="A273" s="53"/>
      <c r="B273" s="53"/>
      <c r="C273" s="53"/>
      <c r="D273" s="53"/>
      <c r="E273" s="53"/>
      <c r="F273" s="113"/>
      <c r="G273" s="126"/>
      <c r="H273" s="53"/>
      <c r="I273" s="53"/>
    </row>
    <row r="274" spans="1:9" x14ac:dyDescent="0.25">
      <c r="A274" s="53"/>
      <c r="B274" s="53"/>
      <c r="C274" s="53"/>
      <c r="D274" s="53"/>
      <c r="E274" s="53"/>
      <c r="F274" s="113"/>
      <c r="G274" s="126"/>
      <c r="H274" s="53"/>
      <c r="I274" s="53"/>
    </row>
    <row r="275" spans="1:9" x14ac:dyDescent="0.25">
      <c r="A275" s="53"/>
      <c r="B275" s="53"/>
      <c r="C275" s="53"/>
      <c r="D275" s="53"/>
      <c r="E275" s="53"/>
      <c r="F275" s="113"/>
      <c r="G275" s="126"/>
      <c r="H275" s="53"/>
      <c r="I275" s="53"/>
    </row>
    <row r="276" spans="1:9" x14ac:dyDescent="0.25">
      <c r="A276" s="53"/>
      <c r="B276" s="53"/>
      <c r="C276" s="53"/>
      <c r="D276" s="53"/>
      <c r="E276" s="53"/>
      <c r="F276" s="113"/>
      <c r="G276" s="126"/>
      <c r="H276" s="53"/>
      <c r="I276" s="53"/>
    </row>
    <row r="277" spans="1:9" x14ac:dyDescent="0.25">
      <c r="A277" s="53"/>
      <c r="B277" s="53"/>
      <c r="C277" s="53"/>
      <c r="D277" s="53"/>
      <c r="E277" s="53"/>
      <c r="F277" s="113"/>
      <c r="G277" s="126"/>
      <c r="H277" s="53"/>
      <c r="I277" s="53"/>
    </row>
    <row r="278" spans="1:9" x14ac:dyDescent="0.25">
      <c r="A278" s="53"/>
      <c r="B278" s="53"/>
      <c r="C278" s="53"/>
      <c r="D278" s="53"/>
      <c r="E278" s="53"/>
      <c r="F278" s="113"/>
      <c r="G278" s="126"/>
      <c r="H278" s="53"/>
      <c r="I278" s="53"/>
    </row>
    <row r="279" spans="1:9" x14ac:dyDescent="0.25">
      <c r="A279" s="53"/>
      <c r="B279" s="53"/>
      <c r="C279" s="53"/>
      <c r="D279" s="53"/>
      <c r="E279" s="53"/>
      <c r="F279" s="113"/>
      <c r="G279" s="126"/>
      <c r="H279" s="53"/>
      <c r="I279" s="53"/>
    </row>
    <row r="280" spans="1:9" x14ac:dyDescent="0.25">
      <c r="A280" s="53"/>
      <c r="B280" s="53"/>
      <c r="C280" s="53"/>
      <c r="D280" s="53"/>
      <c r="E280" s="53"/>
      <c r="F280" s="113"/>
      <c r="G280" s="126"/>
      <c r="H280" s="53"/>
      <c r="I280" s="53"/>
    </row>
    <row r="281" spans="1:9" x14ac:dyDescent="0.25">
      <c r="A281" s="53"/>
      <c r="B281" s="53"/>
      <c r="C281" s="53"/>
      <c r="D281" s="53"/>
      <c r="E281" s="53"/>
      <c r="F281" s="113"/>
      <c r="G281" s="126"/>
      <c r="H281" s="53"/>
      <c r="I281" s="53"/>
    </row>
    <row r="282" spans="1:9" x14ac:dyDescent="0.25">
      <c r="A282" s="53"/>
      <c r="B282" s="53"/>
      <c r="C282" s="53"/>
      <c r="D282" s="53"/>
      <c r="E282" s="53"/>
      <c r="F282" s="113"/>
      <c r="G282" s="126"/>
      <c r="H282" s="53"/>
      <c r="I282" s="53"/>
    </row>
    <row r="283" spans="1:9" x14ac:dyDescent="0.25">
      <c r="A283" s="53"/>
      <c r="B283" s="53"/>
      <c r="C283" s="53"/>
      <c r="D283" s="53"/>
      <c r="E283" s="53"/>
      <c r="F283" s="113"/>
      <c r="G283" s="126"/>
      <c r="H283" s="53"/>
      <c r="I283" s="53"/>
    </row>
    <row r="284" spans="1:9" x14ac:dyDescent="0.25">
      <c r="A284" s="53"/>
      <c r="B284" s="53"/>
      <c r="C284" s="53"/>
      <c r="D284" s="53"/>
      <c r="E284" s="53"/>
      <c r="F284" s="113"/>
      <c r="G284" s="126"/>
      <c r="H284" s="53"/>
      <c r="I284" s="53"/>
    </row>
    <row r="285" spans="1:9" x14ac:dyDescent="0.25">
      <c r="A285" s="53"/>
      <c r="B285" s="53"/>
      <c r="C285" s="53"/>
      <c r="D285" s="53"/>
      <c r="E285" s="53"/>
      <c r="F285" s="113"/>
      <c r="G285" s="126"/>
      <c r="H285" s="53"/>
      <c r="I285" s="53"/>
    </row>
    <row r="286" spans="1:9" x14ac:dyDescent="0.25">
      <c r="A286" s="53"/>
      <c r="B286" s="53"/>
      <c r="C286" s="53"/>
      <c r="D286" s="53"/>
      <c r="E286" s="53"/>
      <c r="F286" s="113"/>
      <c r="G286" s="126"/>
      <c r="H286" s="53"/>
      <c r="I286" s="53"/>
    </row>
    <row r="287" spans="1:9" x14ac:dyDescent="0.25">
      <c r="A287" s="53"/>
      <c r="B287" s="53"/>
      <c r="C287" s="53"/>
      <c r="D287" s="53"/>
      <c r="E287" s="53"/>
      <c r="F287" s="113"/>
      <c r="G287" s="126"/>
      <c r="H287" s="53"/>
      <c r="I287" s="53"/>
    </row>
    <row r="288" spans="1:9" x14ac:dyDescent="0.25">
      <c r="A288" s="53"/>
      <c r="B288" s="53"/>
      <c r="C288" s="53"/>
      <c r="D288" s="53"/>
      <c r="E288" s="53"/>
      <c r="F288" s="113"/>
      <c r="G288" s="126"/>
      <c r="H288" s="53"/>
      <c r="I288" s="53"/>
    </row>
    <row r="289" spans="1:9" x14ac:dyDescent="0.25">
      <c r="A289" s="53"/>
      <c r="B289" s="53"/>
      <c r="C289" s="53"/>
      <c r="D289" s="53"/>
      <c r="E289" s="53"/>
      <c r="F289" s="113"/>
      <c r="G289" s="126"/>
      <c r="H289" s="53"/>
      <c r="I289" s="53"/>
    </row>
    <row r="290" spans="1:9" x14ac:dyDescent="0.25">
      <c r="A290" s="53"/>
      <c r="B290" s="53"/>
      <c r="C290" s="53"/>
      <c r="D290" s="53"/>
      <c r="E290" s="53"/>
      <c r="F290" s="113"/>
      <c r="G290" s="126"/>
      <c r="H290" s="53"/>
      <c r="I290" s="53"/>
    </row>
    <row r="291" spans="1:9" x14ac:dyDescent="0.25">
      <c r="A291" s="53"/>
      <c r="B291" s="53"/>
      <c r="C291" s="53"/>
      <c r="D291" s="53"/>
      <c r="E291" s="53"/>
      <c r="F291" s="113"/>
      <c r="G291" s="126"/>
      <c r="H291" s="53"/>
      <c r="I291" s="53"/>
    </row>
    <row r="292" spans="1:9" x14ac:dyDescent="0.25">
      <c r="A292" s="53"/>
      <c r="B292" s="53"/>
      <c r="C292" s="53"/>
      <c r="D292" s="53"/>
      <c r="E292" s="53"/>
      <c r="F292" s="113"/>
      <c r="G292" s="126"/>
      <c r="H292" s="53"/>
      <c r="I292" s="53"/>
    </row>
    <row r="293" spans="1:9" x14ac:dyDescent="0.25">
      <c r="A293" s="53"/>
      <c r="B293" s="53"/>
      <c r="C293" s="53"/>
      <c r="D293" s="53"/>
      <c r="E293" s="53"/>
      <c r="F293" s="113"/>
      <c r="G293" s="126"/>
      <c r="H293" s="53"/>
      <c r="I293" s="53"/>
    </row>
    <row r="294" spans="1:9" x14ac:dyDescent="0.25">
      <c r="A294" s="53"/>
      <c r="B294" s="53"/>
      <c r="C294" s="53"/>
      <c r="D294" s="53"/>
      <c r="E294" s="53"/>
      <c r="F294" s="113"/>
      <c r="G294" s="126"/>
      <c r="H294" s="53"/>
      <c r="I294" s="53"/>
    </row>
    <row r="295" spans="1:9" x14ac:dyDescent="0.25">
      <c r="A295" s="53"/>
      <c r="B295" s="53"/>
      <c r="C295" s="53"/>
      <c r="D295" s="53"/>
      <c r="E295" s="53"/>
      <c r="F295" s="113"/>
      <c r="G295" s="126"/>
      <c r="H295" s="53"/>
      <c r="I295" s="53"/>
    </row>
    <row r="296" spans="1:9" x14ac:dyDescent="0.25">
      <c r="A296" s="53"/>
      <c r="B296" s="53"/>
      <c r="C296" s="53"/>
      <c r="D296" s="53"/>
      <c r="E296" s="53"/>
      <c r="F296" s="113"/>
      <c r="G296" s="126"/>
      <c r="H296" s="53"/>
      <c r="I296" s="53"/>
    </row>
    <row r="297" spans="1:9" x14ac:dyDescent="0.25">
      <c r="A297" s="53"/>
      <c r="B297" s="53"/>
      <c r="C297" s="53"/>
      <c r="D297" s="53"/>
      <c r="E297" s="53"/>
      <c r="F297" s="113"/>
      <c r="G297" s="126"/>
      <c r="H297" s="53"/>
      <c r="I297" s="53"/>
    </row>
    <row r="298" spans="1:9" x14ac:dyDescent="0.25">
      <c r="A298" s="53"/>
      <c r="B298" s="53"/>
      <c r="C298" s="53"/>
      <c r="D298" s="53"/>
      <c r="E298" s="53"/>
      <c r="F298" s="113"/>
      <c r="G298" s="126"/>
      <c r="H298" s="53"/>
      <c r="I298" s="53"/>
    </row>
    <row r="299" spans="1:9" x14ac:dyDescent="0.25">
      <c r="A299" s="53"/>
      <c r="B299" s="53"/>
      <c r="C299" s="53"/>
      <c r="D299" s="53"/>
      <c r="E299" s="53"/>
      <c r="F299" s="113"/>
      <c r="G299" s="126"/>
      <c r="H299" s="53"/>
      <c r="I299" s="53"/>
    </row>
    <row r="300" spans="1:9" x14ac:dyDescent="0.25">
      <c r="A300" s="53"/>
      <c r="B300" s="53"/>
      <c r="C300" s="53"/>
      <c r="D300" s="53"/>
      <c r="E300" s="53"/>
      <c r="F300" s="113"/>
      <c r="G300" s="126"/>
      <c r="H300" s="53"/>
      <c r="I300" s="53"/>
    </row>
    <row r="301" spans="1:9" x14ac:dyDescent="0.25">
      <c r="A301" s="53"/>
      <c r="B301" s="53"/>
      <c r="C301" s="53"/>
      <c r="D301" s="53"/>
      <c r="E301" s="53"/>
      <c r="F301" s="113"/>
      <c r="G301" s="126"/>
      <c r="H301" s="53"/>
      <c r="I301" s="53"/>
    </row>
    <row r="302" spans="1:9" x14ac:dyDescent="0.25">
      <c r="A302" s="53"/>
      <c r="B302" s="53"/>
      <c r="C302" s="53"/>
      <c r="D302" s="53"/>
      <c r="E302" s="53"/>
      <c r="F302" s="113"/>
      <c r="G302" s="126"/>
      <c r="H302" s="53"/>
      <c r="I302" s="53"/>
    </row>
    <row r="303" spans="1:9" x14ac:dyDescent="0.25">
      <c r="A303" s="53"/>
      <c r="B303" s="53"/>
      <c r="C303" s="53"/>
      <c r="D303" s="53"/>
      <c r="E303" s="53"/>
      <c r="F303" s="113"/>
      <c r="G303" s="126"/>
      <c r="H303" s="53"/>
      <c r="I303" s="53"/>
    </row>
    <row r="304" spans="1:9" x14ac:dyDescent="0.25">
      <c r="A304" s="53"/>
      <c r="B304" s="53"/>
      <c r="C304" s="53"/>
      <c r="D304" s="53"/>
      <c r="E304" s="53"/>
      <c r="F304" s="113"/>
      <c r="G304" s="126"/>
      <c r="H304" s="53"/>
      <c r="I304" s="53"/>
    </row>
    <row r="305" spans="1:9" x14ac:dyDescent="0.25">
      <c r="A305" s="53"/>
      <c r="B305" s="53"/>
      <c r="C305" s="53"/>
      <c r="D305" s="53"/>
      <c r="E305" s="53"/>
      <c r="F305" s="113"/>
      <c r="G305" s="126"/>
      <c r="H305" s="53"/>
      <c r="I305" s="53"/>
    </row>
    <row r="306" spans="1:9" x14ac:dyDescent="0.25">
      <c r="A306" s="53"/>
      <c r="B306" s="53"/>
      <c r="C306" s="53"/>
      <c r="D306" s="53"/>
      <c r="E306" s="53"/>
      <c r="F306" s="113"/>
      <c r="G306" s="126"/>
      <c r="H306" s="53"/>
      <c r="I306" s="53"/>
    </row>
    <row r="307" spans="1:9" x14ac:dyDescent="0.25">
      <c r="A307" s="53"/>
      <c r="B307" s="53"/>
      <c r="C307" s="53"/>
      <c r="D307" s="53"/>
      <c r="E307" s="53"/>
      <c r="F307" s="113"/>
      <c r="G307" s="126"/>
      <c r="H307" s="53"/>
      <c r="I307" s="53"/>
    </row>
    <row r="308" spans="1:9" x14ac:dyDescent="0.25">
      <c r="A308" s="53"/>
      <c r="B308" s="53"/>
      <c r="C308" s="53"/>
      <c r="D308" s="53"/>
      <c r="E308" s="53"/>
      <c r="F308" s="113"/>
      <c r="G308" s="126"/>
      <c r="H308" s="53"/>
      <c r="I308" s="53"/>
    </row>
    <row r="309" spans="1:9" x14ac:dyDescent="0.25">
      <c r="A309" s="53"/>
      <c r="B309" s="53"/>
      <c r="C309" s="53"/>
      <c r="D309" s="53"/>
      <c r="E309" s="53"/>
      <c r="F309" s="113"/>
      <c r="G309" s="126"/>
      <c r="H309" s="53"/>
      <c r="I309" s="53"/>
    </row>
    <row r="310" spans="1:9" x14ac:dyDescent="0.25">
      <c r="A310" s="53"/>
      <c r="B310" s="53"/>
      <c r="C310" s="53"/>
      <c r="D310" s="53"/>
      <c r="E310" s="53"/>
      <c r="F310" s="113"/>
      <c r="G310" s="126"/>
      <c r="H310" s="53"/>
      <c r="I310" s="53"/>
    </row>
    <row r="311" spans="1:9" x14ac:dyDescent="0.25">
      <c r="A311" s="53"/>
      <c r="B311" s="53"/>
      <c r="C311" s="53"/>
      <c r="D311" s="53"/>
      <c r="E311" s="53"/>
      <c r="F311" s="113"/>
      <c r="G311" s="126"/>
      <c r="H311" s="53"/>
      <c r="I311" s="53"/>
    </row>
    <row r="312" spans="1:9" x14ac:dyDescent="0.25">
      <c r="A312" s="53"/>
      <c r="B312" s="53"/>
      <c r="C312" s="53"/>
      <c r="D312" s="53"/>
      <c r="E312" s="53"/>
      <c r="F312" s="113"/>
      <c r="G312" s="126"/>
      <c r="H312" s="53"/>
      <c r="I312" s="53"/>
    </row>
    <row r="313" spans="1:9" x14ac:dyDescent="0.25">
      <c r="A313" s="53"/>
      <c r="B313" s="53"/>
      <c r="C313" s="53"/>
      <c r="D313" s="53"/>
      <c r="E313" s="53"/>
      <c r="F313" s="113"/>
      <c r="G313" s="126"/>
      <c r="H313" s="53"/>
      <c r="I313" s="53"/>
    </row>
    <row r="314" spans="1:9" x14ac:dyDescent="0.25">
      <c r="A314" s="53"/>
      <c r="B314" s="53"/>
      <c r="C314" s="53"/>
      <c r="D314" s="53"/>
      <c r="E314" s="53"/>
      <c r="F314" s="113"/>
      <c r="G314" s="126"/>
      <c r="H314" s="53"/>
      <c r="I314" s="53"/>
    </row>
    <row r="315" spans="1:9" x14ac:dyDescent="0.25">
      <c r="A315" s="53"/>
      <c r="B315" s="53"/>
      <c r="C315" s="53"/>
      <c r="D315" s="53"/>
      <c r="E315" s="53"/>
      <c r="F315" s="113"/>
      <c r="G315" s="126"/>
      <c r="H315" s="53"/>
      <c r="I315" s="53"/>
    </row>
    <row r="316" spans="1:9" x14ac:dyDescent="0.25">
      <c r="A316" s="53"/>
      <c r="B316" s="53"/>
      <c r="C316" s="53"/>
      <c r="D316" s="53"/>
      <c r="E316" s="53"/>
      <c r="F316" s="113"/>
      <c r="G316" s="126"/>
      <c r="H316" s="53"/>
      <c r="I316" s="53"/>
    </row>
    <row r="317" spans="1:9" x14ac:dyDescent="0.25">
      <c r="A317" s="53"/>
      <c r="B317" s="53"/>
      <c r="C317" s="53"/>
      <c r="D317" s="53"/>
      <c r="E317" s="53"/>
      <c r="F317" s="113"/>
      <c r="G317" s="126"/>
      <c r="H317" s="53"/>
      <c r="I317" s="53"/>
    </row>
    <row r="318" spans="1:9" x14ac:dyDescent="0.25">
      <c r="A318" s="53"/>
      <c r="B318" s="53"/>
      <c r="C318" s="53"/>
      <c r="D318" s="53"/>
      <c r="E318" s="53"/>
      <c r="F318" s="113"/>
      <c r="G318" s="126"/>
      <c r="H318" s="53"/>
      <c r="I318" s="53"/>
    </row>
    <row r="319" spans="1:9" x14ac:dyDescent="0.25">
      <c r="A319" s="53"/>
      <c r="B319" s="53"/>
      <c r="C319" s="53"/>
      <c r="D319" s="53"/>
      <c r="E319" s="53"/>
      <c r="F319" s="113"/>
      <c r="G319" s="126"/>
      <c r="H319" s="53"/>
      <c r="I319" s="53"/>
    </row>
    <row r="320" spans="1:9" x14ac:dyDescent="0.25">
      <c r="A320" s="53"/>
      <c r="B320" s="53"/>
      <c r="C320" s="53"/>
      <c r="D320" s="53"/>
      <c r="E320" s="53"/>
      <c r="F320" s="113"/>
      <c r="G320" s="126"/>
      <c r="H320" s="53"/>
      <c r="I320" s="53"/>
    </row>
    <row r="321" spans="1:9" x14ac:dyDescent="0.25">
      <c r="A321" s="53"/>
      <c r="B321" s="53"/>
      <c r="C321" s="53"/>
      <c r="D321" s="53"/>
      <c r="E321" s="53"/>
      <c r="F321" s="113"/>
      <c r="G321" s="126"/>
      <c r="H321" s="53"/>
      <c r="I321" s="53"/>
    </row>
    <row r="322" spans="1:9" x14ac:dyDescent="0.25">
      <c r="A322" s="53"/>
      <c r="B322" s="53"/>
      <c r="C322" s="53"/>
      <c r="D322" s="53"/>
      <c r="E322" s="53"/>
      <c r="F322" s="113"/>
      <c r="G322" s="126"/>
      <c r="H322" s="53"/>
      <c r="I322" s="53"/>
    </row>
    <row r="323" spans="1:9" x14ac:dyDescent="0.25">
      <c r="A323" s="53"/>
      <c r="B323" s="53"/>
      <c r="C323" s="53"/>
      <c r="D323" s="53"/>
      <c r="E323" s="53"/>
      <c r="F323" s="113"/>
      <c r="G323" s="126"/>
      <c r="H323" s="53"/>
      <c r="I323" s="53"/>
    </row>
    <row r="324" spans="1:9" x14ac:dyDescent="0.25">
      <c r="A324" s="53"/>
      <c r="B324" s="53"/>
      <c r="C324" s="53"/>
      <c r="D324" s="53"/>
      <c r="E324" s="53"/>
      <c r="F324" s="113"/>
      <c r="G324" s="126"/>
      <c r="H324" s="53"/>
      <c r="I324" s="53"/>
    </row>
    <row r="325" spans="1:9" x14ac:dyDescent="0.25">
      <c r="A325" s="53"/>
      <c r="B325" s="53"/>
      <c r="C325" s="53"/>
      <c r="D325" s="53"/>
      <c r="E325" s="53"/>
      <c r="F325" s="113"/>
      <c r="G325" s="126"/>
      <c r="H325" s="53"/>
      <c r="I325" s="53"/>
    </row>
    <row r="326" spans="1:9" x14ac:dyDescent="0.25">
      <c r="A326" s="53"/>
      <c r="B326" s="53"/>
      <c r="C326" s="53"/>
      <c r="D326" s="53"/>
      <c r="E326" s="53"/>
      <c r="F326" s="113"/>
      <c r="G326" s="126"/>
      <c r="H326" s="53"/>
      <c r="I326" s="53"/>
    </row>
    <row r="327" spans="1:9" x14ac:dyDescent="0.25">
      <c r="A327" s="53"/>
      <c r="B327" s="53"/>
      <c r="C327" s="53"/>
      <c r="D327" s="53"/>
      <c r="E327" s="53"/>
      <c r="F327" s="113"/>
      <c r="G327" s="126"/>
      <c r="H327" s="53"/>
      <c r="I327" s="53"/>
    </row>
    <row r="328" spans="1:9" x14ac:dyDescent="0.25">
      <c r="A328" s="53"/>
      <c r="B328" s="53"/>
      <c r="C328" s="53"/>
      <c r="D328" s="53"/>
      <c r="E328" s="53"/>
      <c r="F328" s="113"/>
      <c r="G328" s="126"/>
      <c r="H328" s="53"/>
      <c r="I328" s="53"/>
    </row>
    <row r="329" spans="1:9" x14ac:dyDescent="0.25">
      <c r="A329" s="53"/>
      <c r="B329" s="53"/>
      <c r="C329" s="53"/>
      <c r="D329" s="53"/>
      <c r="E329" s="53"/>
      <c r="F329" s="113"/>
      <c r="G329" s="126"/>
      <c r="H329" s="53"/>
      <c r="I329" s="53"/>
    </row>
    <row r="330" spans="1:9" x14ac:dyDescent="0.25">
      <c r="A330" s="53"/>
      <c r="B330" s="53"/>
      <c r="C330" s="53"/>
      <c r="D330" s="53"/>
      <c r="E330" s="53"/>
      <c r="F330" s="113"/>
      <c r="G330" s="126"/>
      <c r="H330" s="53"/>
      <c r="I330" s="53"/>
    </row>
    <row r="331" spans="1:9" x14ac:dyDescent="0.25">
      <c r="A331" s="53"/>
      <c r="B331" s="53"/>
      <c r="C331" s="53"/>
      <c r="D331" s="53"/>
      <c r="E331" s="53"/>
      <c r="F331" s="113"/>
      <c r="G331" s="126"/>
      <c r="H331" s="53"/>
      <c r="I331" s="53"/>
    </row>
    <row r="332" spans="1:9" x14ac:dyDescent="0.25">
      <c r="A332" s="53"/>
      <c r="B332" s="53"/>
      <c r="C332" s="53"/>
      <c r="D332" s="53"/>
      <c r="E332" s="53"/>
      <c r="F332" s="113"/>
      <c r="G332" s="126"/>
      <c r="H332" s="53"/>
      <c r="I332" s="53"/>
    </row>
    <row r="333" spans="1:9" x14ac:dyDescent="0.25">
      <c r="A333" s="53"/>
      <c r="B333" s="53"/>
      <c r="C333" s="53"/>
      <c r="D333" s="53"/>
      <c r="E333" s="53"/>
      <c r="F333" s="113"/>
      <c r="G333" s="126"/>
      <c r="H333" s="53"/>
      <c r="I333" s="53"/>
    </row>
    <row r="334" spans="1:9" x14ac:dyDescent="0.25">
      <c r="A334" s="53"/>
      <c r="B334" s="53"/>
      <c r="C334" s="53"/>
      <c r="D334" s="53"/>
      <c r="E334" s="53"/>
      <c r="F334" s="113"/>
      <c r="G334" s="126"/>
      <c r="H334" s="53"/>
      <c r="I334" s="53"/>
    </row>
    <row r="335" spans="1:9" x14ac:dyDescent="0.25">
      <c r="A335" s="53"/>
      <c r="B335" s="53"/>
      <c r="C335" s="53"/>
      <c r="D335" s="53"/>
      <c r="E335" s="53"/>
      <c r="F335" s="113"/>
      <c r="G335" s="126"/>
      <c r="H335" s="53"/>
      <c r="I335" s="53"/>
    </row>
    <row r="336" spans="1:9" x14ac:dyDescent="0.25">
      <c r="A336" s="53"/>
      <c r="B336" s="53"/>
      <c r="C336" s="53"/>
      <c r="D336" s="53"/>
      <c r="E336" s="53"/>
      <c r="F336" s="113"/>
      <c r="G336" s="126"/>
      <c r="H336" s="53"/>
      <c r="I336" s="53"/>
    </row>
    <row r="337" spans="1:9" x14ac:dyDescent="0.25">
      <c r="A337" s="53"/>
      <c r="B337" s="53"/>
      <c r="C337" s="53"/>
      <c r="D337" s="53"/>
      <c r="E337" s="53"/>
      <c r="F337" s="113"/>
      <c r="G337" s="126"/>
      <c r="H337" s="53"/>
      <c r="I337" s="53"/>
    </row>
    <row r="338" spans="1:9" x14ac:dyDescent="0.25">
      <c r="A338" s="53"/>
      <c r="B338" s="53"/>
      <c r="C338" s="53"/>
      <c r="D338" s="53"/>
      <c r="E338" s="53"/>
      <c r="F338" s="113"/>
      <c r="G338" s="126"/>
      <c r="H338" s="53"/>
      <c r="I338" s="53"/>
    </row>
    <row r="339" spans="1:9" x14ac:dyDescent="0.25">
      <c r="A339" s="53"/>
      <c r="B339" s="53"/>
      <c r="C339" s="53"/>
      <c r="D339" s="53"/>
      <c r="E339" s="53"/>
      <c r="F339" s="113"/>
      <c r="G339" s="126"/>
      <c r="H339" s="53"/>
      <c r="I339" s="53"/>
    </row>
    <row r="340" spans="1:9" x14ac:dyDescent="0.25">
      <c r="A340" s="53"/>
      <c r="B340" s="53"/>
      <c r="C340" s="53"/>
      <c r="D340" s="53"/>
      <c r="E340" s="53"/>
      <c r="F340" s="113"/>
      <c r="G340" s="126"/>
      <c r="H340" s="53"/>
      <c r="I340" s="53"/>
    </row>
    <row r="341" spans="1:9" x14ac:dyDescent="0.25">
      <c r="A341" s="53"/>
      <c r="B341" s="53"/>
      <c r="C341" s="53"/>
      <c r="D341" s="53"/>
      <c r="E341" s="53"/>
      <c r="F341" s="113"/>
      <c r="G341" s="126"/>
      <c r="H341" s="53"/>
      <c r="I341" s="53"/>
    </row>
    <row r="342" spans="1:9" x14ac:dyDescent="0.25">
      <c r="A342" s="53"/>
      <c r="B342" s="53"/>
      <c r="C342" s="53"/>
      <c r="D342" s="53"/>
      <c r="E342" s="53"/>
      <c r="F342" s="113"/>
      <c r="G342" s="126"/>
      <c r="H342" s="53"/>
      <c r="I342" s="53"/>
    </row>
    <row r="343" spans="1:9" x14ac:dyDescent="0.25">
      <c r="A343" s="53"/>
      <c r="B343" s="53"/>
      <c r="C343" s="53"/>
      <c r="D343" s="53"/>
      <c r="E343" s="53"/>
      <c r="F343" s="113"/>
      <c r="G343" s="126"/>
      <c r="H343" s="53"/>
      <c r="I343" s="53"/>
    </row>
    <row r="344" spans="1:9" x14ac:dyDescent="0.25">
      <c r="A344" s="53"/>
      <c r="B344" s="53"/>
      <c r="C344" s="53"/>
      <c r="D344" s="53"/>
      <c r="E344" s="53"/>
      <c r="F344" s="113"/>
      <c r="G344" s="126"/>
      <c r="H344" s="53"/>
      <c r="I344" s="53"/>
    </row>
    <row r="345" spans="1:9" x14ac:dyDescent="0.25">
      <c r="A345" s="53"/>
      <c r="B345" s="53"/>
      <c r="C345" s="53"/>
      <c r="D345" s="53"/>
      <c r="E345" s="53"/>
      <c r="F345" s="113"/>
      <c r="G345" s="126"/>
      <c r="H345" s="53"/>
      <c r="I345" s="53"/>
    </row>
    <row r="346" spans="1:9" x14ac:dyDescent="0.25">
      <c r="A346" s="53"/>
      <c r="B346" s="53"/>
      <c r="C346" s="53"/>
      <c r="D346" s="53"/>
      <c r="E346" s="53"/>
      <c r="F346" s="113"/>
      <c r="G346" s="126"/>
      <c r="H346" s="53"/>
      <c r="I346" s="53"/>
    </row>
    <row r="347" spans="1:9" x14ac:dyDescent="0.25">
      <c r="A347" s="53"/>
      <c r="B347" s="53"/>
      <c r="C347" s="53"/>
      <c r="D347" s="53"/>
      <c r="E347" s="53"/>
      <c r="F347" s="113"/>
      <c r="G347" s="126"/>
      <c r="H347" s="53"/>
      <c r="I347" s="53"/>
    </row>
    <row r="348" spans="1:9" x14ac:dyDescent="0.25">
      <c r="A348" s="53"/>
      <c r="B348" s="53"/>
      <c r="C348" s="53"/>
      <c r="D348" s="53"/>
      <c r="E348" s="53"/>
      <c r="F348" s="113"/>
      <c r="G348" s="126"/>
      <c r="H348" s="53"/>
      <c r="I348" s="53"/>
    </row>
    <row r="349" spans="1:9" x14ac:dyDescent="0.25">
      <c r="A349" s="53"/>
      <c r="B349" s="53"/>
      <c r="C349" s="53"/>
      <c r="D349" s="53"/>
      <c r="E349" s="53"/>
      <c r="F349" s="113"/>
      <c r="G349" s="126"/>
      <c r="H349" s="53"/>
      <c r="I349" s="53"/>
    </row>
    <row r="350" spans="1:9" x14ac:dyDescent="0.25">
      <c r="A350" s="53"/>
      <c r="B350" s="53"/>
      <c r="C350" s="53"/>
      <c r="D350" s="53"/>
      <c r="E350" s="53"/>
      <c r="F350" s="113"/>
      <c r="G350" s="126"/>
      <c r="H350" s="53"/>
      <c r="I350" s="53"/>
    </row>
    <row r="351" spans="1:9" x14ac:dyDescent="0.25">
      <c r="A351" s="53"/>
      <c r="B351" s="53"/>
      <c r="C351" s="53"/>
      <c r="D351" s="53"/>
      <c r="E351" s="53"/>
      <c r="F351" s="113"/>
      <c r="G351" s="126"/>
      <c r="H351" s="53"/>
      <c r="I351" s="53"/>
    </row>
    <row r="352" spans="1:9" x14ac:dyDescent="0.25">
      <c r="A352" s="53"/>
      <c r="B352" s="53"/>
      <c r="C352" s="53"/>
      <c r="D352" s="53"/>
      <c r="E352" s="53"/>
      <c r="F352" s="113"/>
      <c r="G352" s="126"/>
      <c r="H352" s="53"/>
      <c r="I352" s="53"/>
    </row>
    <row r="353" spans="1:9" x14ac:dyDescent="0.25">
      <c r="A353" s="53"/>
      <c r="B353" s="53"/>
      <c r="C353" s="53"/>
      <c r="D353" s="53"/>
      <c r="E353" s="53"/>
      <c r="F353" s="113"/>
      <c r="G353" s="126"/>
      <c r="H353" s="53"/>
      <c r="I353" s="53"/>
    </row>
    <row r="354" spans="1:9" x14ac:dyDescent="0.25">
      <c r="A354" s="53"/>
      <c r="B354" s="53"/>
      <c r="C354" s="53"/>
      <c r="D354" s="53"/>
      <c r="E354" s="53"/>
      <c r="F354" s="113"/>
      <c r="G354" s="126"/>
      <c r="H354" s="53"/>
      <c r="I354" s="53"/>
    </row>
    <row r="355" spans="1:9" x14ac:dyDescent="0.25">
      <c r="A355" s="53"/>
      <c r="B355" s="53"/>
      <c r="C355" s="53"/>
      <c r="D355" s="53"/>
      <c r="E355" s="53"/>
      <c r="F355" s="113"/>
      <c r="G355" s="126"/>
      <c r="H355" s="53"/>
      <c r="I355" s="53"/>
    </row>
    <row r="356" spans="1:9" x14ac:dyDescent="0.25">
      <c r="A356" s="53"/>
      <c r="B356" s="53"/>
      <c r="C356" s="53"/>
      <c r="D356" s="53"/>
      <c r="E356" s="53"/>
      <c r="F356" s="113"/>
      <c r="G356" s="126"/>
      <c r="H356" s="53"/>
      <c r="I356" s="53"/>
    </row>
    <row r="357" spans="1:9" x14ac:dyDescent="0.25">
      <c r="A357" s="53"/>
      <c r="B357" s="53"/>
      <c r="C357" s="53"/>
      <c r="D357" s="53"/>
      <c r="E357" s="53"/>
      <c r="F357" s="113"/>
      <c r="G357" s="126"/>
      <c r="H357" s="53"/>
      <c r="I357" s="53"/>
    </row>
    <row r="358" spans="1:9" x14ac:dyDescent="0.25">
      <c r="A358" s="53"/>
      <c r="B358" s="53"/>
      <c r="C358" s="53"/>
      <c r="D358" s="53"/>
      <c r="E358" s="53"/>
      <c r="F358" s="113"/>
      <c r="G358" s="126"/>
      <c r="H358" s="53"/>
      <c r="I358" s="53"/>
    </row>
    <row r="359" spans="1:9" x14ac:dyDescent="0.25">
      <c r="A359" s="53"/>
      <c r="B359" s="53"/>
      <c r="C359" s="53"/>
      <c r="D359" s="53"/>
      <c r="E359" s="53"/>
      <c r="F359" s="113"/>
      <c r="G359" s="126"/>
      <c r="H359" s="53"/>
      <c r="I359" s="53"/>
    </row>
    <row r="360" spans="1:9" x14ac:dyDescent="0.25">
      <c r="A360" s="53"/>
      <c r="B360" s="53"/>
      <c r="C360" s="53"/>
      <c r="D360" s="53"/>
      <c r="E360" s="53"/>
      <c r="F360" s="113"/>
      <c r="G360" s="126"/>
      <c r="H360" s="53"/>
      <c r="I360" s="53"/>
    </row>
    <row r="361" spans="1:9" x14ac:dyDescent="0.25">
      <c r="A361" s="53"/>
      <c r="B361" s="53"/>
      <c r="C361" s="53"/>
      <c r="D361" s="53"/>
      <c r="E361" s="53"/>
      <c r="F361" s="113"/>
      <c r="G361" s="126"/>
      <c r="H361" s="53"/>
      <c r="I361" s="53"/>
    </row>
    <row r="362" spans="1:9" x14ac:dyDescent="0.25">
      <c r="A362" s="53"/>
      <c r="B362" s="53"/>
      <c r="C362" s="53"/>
      <c r="D362" s="53"/>
      <c r="E362" s="53"/>
      <c r="F362" s="113"/>
      <c r="G362" s="126"/>
      <c r="H362" s="53"/>
      <c r="I362" s="53"/>
    </row>
    <row r="363" spans="1:9" x14ac:dyDescent="0.25">
      <c r="A363" s="53"/>
      <c r="B363" s="53"/>
      <c r="C363" s="53"/>
      <c r="D363" s="53"/>
      <c r="E363" s="53"/>
      <c r="F363" s="113"/>
      <c r="G363" s="126"/>
      <c r="H363" s="53"/>
      <c r="I363" s="53"/>
    </row>
    <row r="364" spans="1:9" x14ac:dyDescent="0.25">
      <c r="A364" s="53"/>
      <c r="B364" s="53"/>
      <c r="C364" s="53"/>
      <c r="D364" s="53"/>
      <c r="E364" s="53"/>
      <c r="F364" s="113"/>
      <c r="G364" s="126"/>
      <c r="H364" s="53"/>
      <c r="I364" s="53"/>
    </row>
    <row r="365" spans="1:9" x14ac:dyDescent="0.25">
      <c r="A365" s="53"/>
      <c r="B365" s="53"/>
      <c r="C365" s="53"/>
      <c r="D365" s="53"/>
      <c r="E365" s="53"/>
      <c r="F365" s="113"/>
      <c r="G365" s="126"/>
      <c r="H365" s="53"/>
      <c r="I365" s="53"/>
    </row>
    <row r="366" spans="1:9" x14ac:dyDescent="0.25">
      <c r="A366" s="53"/>
      <c r="B366" s="53"/>
      <c r="C366" s="53"/>
      <c r="D366" s="53"/>
      <c r="E366" s="53"/>
      <c r="F366" s="113"/>
      <c r="G366" s="126"/>
      <c r="H366" s="53"/>
      <c r="I366" s="53"/>
    </row>
    <row r="367" spans="1:9" x14ac:dyDescent="0.25">
      <c r="A367" s="53"/>
      <c r="B367" s="53"/>
      <c r="C367" s="53"/>
      <c r="D367" s="53"/>
      <c r="E367" s="53"/>
      <c r="F367" s="113"/>
      <c r="G367" s="126"/>
      <c r="H367" s="53"/>
      <c r="I367" s="53"/>
    </row>
    <row r="368" spans="1:9" x14ac:dyDescent="0.25">
      <c r="A368" s="53"/>
      <c r="B368" s="53"/>
      <c r="C368" s="53"/>
      <c r="D368" s="53"/>
      <c r="E368" s="53"/>
      <c r="F368" s="113"/>
      <c r="G368" s="126"/>
      <c r="H368" s="53"/>
      <c r="I368" s="53"/>
    </row>
    <row r="369" spans="1:9" x14ac:dyDescent="0.25">
      <c r="A369" s="53"/>
      <c r="B369" s="53"/>
      <c r="C369" s="53"/>
      <c r="D369" s="53"/>
      <c r="E369" s="53"/>
      <c r="F369" s="113"/>
      <c r="G369" s="126"/>
      <c r="H369" s="53"/>
      <c r="I369" s="53"/>
    </row>
    <row r="370" spans="1:9" x14ac:dyDescent="0.25">
      <c r="A370" s="53"/>
      <c r="B370" s="53"/>
      <c r="C370" s="53"/>
      <c r="D370" s="53"/>
      <c r="E370" s="53"/>
      <c r="F370" s="113"/>
      <c r="G370" s="126"/>
      <c r="H370" s="53"/>
      <c r="I370" s="53"/>
    </row>
    <row r="371" spans="1:9" x14ac:dyDescent="0.25">
      <c r="A371" s="53"/>
      <c r="B371" s="53"/>
      <c r="C371" s="53"/>
      <c r="D371" s="53"/>
      <c r="E371" s="53"/>
      <c r="F371" s="113"/>
      <c r="G371" s="126"/>
      <c r="H371" s="53"/>
      <c r="I371" s="53"/>
    </row>
    <row r="372" spans="1:9" x14ac:dyDescent="0.25">
      <c r="A372" s="53"/>
      <c r="B372" s="53"/>
      <c r="C372" s="53"/>
      <c r="D372" s="53"/>
      <c r="E372" s="53"/>
      <c r="F372" s="113"/>
      <c r="G372" s="126"/>
      <c r="H372" s="53"/>
      <c r="I372" s="53"/>
    </row>
    <row r="373" spans="1:9" x14ac:dyDescent="0.25">
      <c r="A373" s="53"/>
      <c r="B373" s="53"/>
      <c r="C373" s="53"/>
      <c r="D373" s="53"/>
      <c r="E373" s="53"/>
      <c r="F373" s="113"/>
      <c r="G373" s="126"/>
      <c r="H373" s="53"/>
      <c r="I373" s="53"/>
    </row>
    <row r="374" spans="1:9" x14ac:dyDescent="0.25">
      <c r="A374" s="53"/>
      <c r="B374" s="53"/>
      <c r="C374" s="53"/>
      <c r="D374" s="53"/>
      <c r="E374" s="53"/>
      <c r="F374" s="113"/>
      <c r="G374" s="126"/>
      <c r="H374" s="53"/>
      <c r="I374" s="53"/>
    </row>
    <row r="375" spans="1:9" x14ac:dyDescent="0.25">
      <c r="A375" s="53"/>
      <c r="B375" s="53"/>
      <c r="C375" s="53"/>
      <c r="D375" s="53"/>
      <c r="E375" s="53"/>
      <c r="F375" s="113"/>
      <c r="G375" s="126"/>
      <c r="H375" s="53"/>
      <c r="I375" s="53"/>
    </row>
    <row r="376" spans="1:9" x14ac:dyDescent="0.25">
      <c r="A376" s="53"/>
      <c r="B376" s="53"/>
      <c r="C376" s="53"/>
      <c r="D376" s="53"/>
      <c r="E376" s="53"/>
      <c r="F376" s="113"/>
      <c r="G376" s="126"/>
      <c r="H376" s="53"/>
      <c r="I376" s="53"/>
    </row>
    <row r="377" spans="1:9" x14ac:dyDescent="0.25">
      <c r="A377" s="53"/>
      <c r="B377" s="53"/>
      <c r="C377" s="53"/>
      <c r="D377" s="53"/>
      <c r="E377" s="53"/>
      <c r="F377" s="113"/>
      <c r="G377" s="126"/>
      <c r="H377" s="53"/>
      <c r="I377" s="53"/>
    </row>
    <row r="378" spans="1:9" x14ac:dyDescent="0.25">
      <c r="A378" s="53"/>
      <c r="B378" s="53"/>
      <c r="C378" s="53"/>
      <c r="D378" s="53"/>
      <c r="E378" s="53"/>
      <c r="F378" s="113"/>
      <c r="G378" s="126"/>
      <c r="H378" s="53"/>
      <c r="I378" s="53"/>
    </row>
    <row r="379" spans="1:9" x14ac:dyDescent="0.25">
      <c r="A379" s="53"/>
      <c r="B379" s="53"/>
      <c r="C379" s="53"/>
      <c r="D379" s="53"/>
      <c r="E379" s="53"/>
      <c r="F379" s="113"/>
      <c r="G379" s="126"/>
      <c r="H379" s="53"/>
      <c r="I379" s="53"/>
    </row>
    <row r="380" spans="1:9" x14ac:dyDescent="0.25">
      <c r="A380" s="53"/>
      <c r="B380" s="53"/>
      <c r="C380" s="53"/>
      <c r="D380" s="53"/>
      <c r="E380" s="53"/>
      <c r="F380" s="113"/>
      <c r="G380" s="126"/>
      <c r="H380" s="53"/>
      <c r="I380" s="53"/>
    </row>
    <row r="381" spans="1:9" x14ac:dyDescent="0.25">
      <c r="A381" s="53"/>
      <c r="B381" s="53"/>
      <c r="C381" s="53"/>
      <c r="D381" s="53"/>
      <c r="E381" s="53"/>
      <c r="F381" s="113"/>
      <c r="G381" s="126"/>
      <c r="H381" s="53"/>
      <c r="I381" s="53"/>
    </row>
    <row r="382" spans="1:9" x14ac:dyDescent="0.25">
      <c r="A382" s="53"/>
      <c r="B382" s="53"/>
      <c r="C382" s="53"/>
      <c r="D382" s="53"/>
      <c r="E382" s="53"/>
      <c r="F382" s="113"/>
      <c r="G382" s="126"/>
      <c r="H382" s="53"/>
      <c r="I382" s="53"/>
    </row>
    <row r="383" spans="1:9" x14ac:dyDescent="0.25">
      <c r="A383" s="53"/>
      <c r="B383" s="53"/>
      <c r="C383" s="53"/>
      <c r="D383" s="53"/>
      <c r="E383" s="53"/>
      <c r="F383" s="113"/>
      <c r="G383" s="126"/>
      <c r="H383" s="53"/>
      <c r="I383" s="53"/>
    </row>
    <row r="384" spans="1:9" x14ac:dyDescent="0.25">
      <c r="A384" s="53"/>
      <c r="B384" s="53"/>
      <c r="C384" s="53"/>
      <c r="D384" s="53"/>
      <c r="E384" s="53"/>
      <c r="F384" s="113"/>
      <c r="G384" s="126"/>
      <c r="H384" s="53"/>
      <c r="I384" s="53"/>
    </row>
    <row r="385" spans="1:9" x14ac:dyDescent="0.25">
      <c r="A385" s="53"/>
      <c r="B385" s="53"/>
      <c r="C385" s="53"/>
      <c r="D385" s="53"/>
      <c r="E385" s="53"/>
      <c r="F385" s="113"/>
      <c r="G385" s="126"/>
      <c r="H385" s="53"/>
      <c r="I385" s="53"/>
    </row>
    <row r="386" spans="1:9" x14ac:dyDescent="0.25">
      <c r="A386" s="53"/>
      <c r="B386" s="53"/>
      <c r="C386" s="53"/>
      <c r="D386" s="53"/>
      <c r="E386" s="53"/>
      <c r="F386" s="113"/>
      <c r="G386" s="126"/>
      <c r="H386" s="53"/>
      <c r="I386" s="53"/>
    </row>
    <row r="387" spans="1:9" x14ac:dyDescent="0.25">
      <c r="A387" s="53"/>
      <c r="B387" s="53"/>
      <c r="C387" s="53"/>
      <c r="D387" s="53"/>
      <c r="E387" s="53"/>
      <c r="F387" s="113"/>
      <c r="G387" s="126"/>
      <c r="H387" s="53"/>
      <c r="I387" s="53"/>
    </row>
    <row r="388" spans="1:9" x14ac:dyDescent="0.25">
      <c r="A388" s="53"/>
      <c r="B388" s="53"/>
      <c r="C388" s="53"/>
      <c r="D388" s="53"/>
      <c r="E388" s="53"/>
      <c r="F388" s="113"/>
      <c r="G388" s="126"/>
      <c r="H388" s="53"/>
      <c r="I388" s="53"/>
    </row>
    <row r="389" spans="1:9" x14ac:dyDescent="0.25">
      <c r="A389" s="53"/>
      <c r="B389" s="53"/>
      <c r="C389" s="53"/>
      <c r="D389" s="53"/>
      <c r="E389" s="53"/>
      <c r="F389" s="113"/>
      <c r="G389" s="126"/>
      <c r="H389" s="53"/>
      <c r="I389" s="53"/>
    </row>
    <row r="390" spans="1:9" x14ac:dyDescent="0.25">
      <c r="A390" s="53"/>
      <c r="B390" s="53"/>
      <c r="C390" s="53"/>
      <c r="D390" s="53"/>
      <c r="E390" s="53"/>
      <c r="F390" s="113"/>
      <c r="G390" s="126"/>
      <c r="H390" s="53"/>
      <c r="I390" s="53"/>
    </row>
    <row r="391" spans="1:9" x14ac:dyDescent="0.25">
      <c r="A391" s="53"/>
      <c r="B391" s="53"/>
      <c r="C391" s="53"/>
      <c r="D391" s="53"/>
      <c r="E391" s="53"/>
      <c r="F391" s="113"/>
      <c r="G391" s="126"/>
      <c r="H391" s="53"/>
      <c r="I391" s="53"/>
    </row>
    <row r="392" spans="1:9" x14ac:dyDescent="0.25">
      <c r="A392" s="53"/>
      <c r="B392" s="53"/>
      <c r="C392" s="53"/>
      <c r="D392" s="53"/>
      <c r="E392" s="53"/>
      <c r="F392" s="113"/>
      <c r="G392" s="126"/>
      <c r="H392" s="53"/>
      <c r="I392" s="53"/>
    </row>
    <row r="393" spans="1:9" x14ac:dyDescent="0.25">
      <c r="A393" s="53"/>
      <c r="B393" s="53"/>
      <c r="C393" s="53"/>
      <c r="D393" s="53"/>
      <c r="E393" s="53"/>
      <c r="F393" s="113"/>
      <c r="G393" s="126"/>
      <c r="H393" s="53"/>
      <c r="I393" s="53"/>
    </row>
    <row r="394" spans="1:9" x14ac:dyDescent="0.25">
      <c r="A394" s="53"/>
      <c r="B394" s="53"/>
      <c r="C394" s="53"/>
      <c r="D394" s="53"/>
      <c r="E394" s="53"/>
      <c r="F394" s="113"/>
      <c r="G394" s="126"/>
      <c r="H394" s="53"/>
      <c r="I394" s="53"/>
    </row>
    <row r="395" spans="1:9" x14ac:dyDescent="0.25">
      <c r="A395" s="53"/>
      <c r="B395" s="53"/>
      <c r="C395" s="53"/>
      <c r="D395" s="53"/>
      <c r="E395" s="53"/>
      <c r="F395" s="113"/>
      <c r="G395" s="126"/>
      <c r="H395" s="53"/>
      <c r="I395" s="53"/>
    </row>
    <row r="396" spans="1:9" x14ac:dyDescent="0.25">
      <c r="A396" s="53"/>
      <c r="B396" s="53"/>
      <c r="C396" s="53"/>
      <c r="D396" s="53"/>
      <c r="E396" s="53"/>
      <c r="F396" s="113"/>
      <c r="G396" s="126"/>
      <c r="H396" s="53"/>
      <c r="I396" s="53"/>
    </row>
    <row r="397" spans="1:9" x14ac:dyDescent="0.25">
      <c r="A397" s="53"/>
      <c r="B397" s="53"/>
      <c r="C397" s="53"/>
      <c r="D397" s="53"/>
      <c r="E397" s="53"/>
      <c r="F397" s="113"/>
      <c r="G397" s="126"/>
      <c r="H397" s="53"/>
      <c r="I397" s="53"/>
    </row>
    <row r="398" spans="1:9" x14ac:dyDescent="0.25">
      <c r="A398" s="53"/>
      <c r="B398" s="53"/>
      <c r="C398" s="53"/>
      <c r="D398" s="53"/>
      <c r="E398" s="53"/>
      <c r="F398" s="113"/>
      <c r="G398" s="126"/>
      <c r="H398" s="53"/>
      <c r="I398" s="53"/>
    </row>
    <row r="399" spans="1:9" x14ac:dyDescent="0.25">
      <c r="A399" s="53"/>
      <c r="B399" s="53"/>
      <c r="C399" s="53"/>
      <c r="D399" s="53"/>
      <c r="E399" s="53"/>
      <c r="F399" s="113"/>
      <c r="G399" s="126"/>
      <c r="H399" s="53"/>
      <c r="I399" s="53"/>
    </row>
    <row r="400" spans="1:9" x14ac:dyDescent="0.25">
      <c r="A400" s="53"/>
      <c r="B400" s="53"/>
      <c r="C400" s="53"/>
      <c r="D400" s="53"/>
      <c r="E400" s="53"/>
      <c r="F400" s="113"/>
      <c r="G400" s="126"/>
      <c r="H400" s="53"/>
      <c r="I400" s="53"/>
    </row>
    <row r="401" spans="1:9" x14ac:dyDescent="0.25">
      <c r="A401" s="53"/>
      <c r="B401" s="53"/>
      <c r="C401" s="53"/>
      <c r="D401" s="53"/>
      <c r="E401" s="53"/>
      <c r="F401" s="113"/>
      <c r="G401" s="126"/>
      <c r="H401" s="53"/>
      <c r="I401" s="53"/>
    </row>
    <row r="402" spans="1:9" x14ac:dyDescent="0.25">
      <c r="A402" s="53"/>
      <c r="B402" s="53"/>
      <c r="C402" s="53"/>
      <c r="D402" s="53"/>
      <c r="E402" s="53"/>
      <c r="F402" s="113"/>
      <c r="G402" s="126"/>
      <c r="H402" s="53"/>
      <c r="I402" s="53"/>
    </row>
    <row r="403" spans="1:9" x14ac:dyDescent="0.25">
      <c r="A403" s="53"/>
      <c r="B403" s="53"/>
      <c r="C403" s="53"/>
      <c r="D403" s="53"/>
      <c r="E403" s="53"/>
      <c r="F403" s="113"/>
      <c r="G403" s="126"/>
      <c r="H403" s="53"/>
      <c r="I403" s="53"/>
    </row>
    <row r="404" spans="1:9" x14ac:dyDescent="0.25">
      <c r="A404" s="53"/>
      <c r="B404" s="53"/>
      <c r="C404" s="53"/>
      <c r="D404" s="53"/>
      <c r="E404" s="53"/>
      <c r="F404" s="113"/>
      <c r="G404" s="126"/>
      <c r="H404" s="53"/>
      <c r="I404" s="53"/>
    </row>
    <row r="405" spans="1:9" x14ac:dyDescent="0.25">
      <c r="A405" s="53"/>
      <c r="B405" s="53"/>
      <c r="C405" s="53"/>
      <c r="D405" s="53"/>
      <c r="E405" s="53"/>
      <c r="F405" s="113"/>
      <c r="G405" s="126"/>
      <c r="H405" s="53"/>
      <c r="I405" s="53"/>
    </row>
    <row r="406" spans="1:9" x14ac:dyDescent="0.25">
      <c r="A406" s="53"/>
      <c r="B406" s="53"/>
      <c r="C406" s="53"/>
      <c r="D406" s="53"/>
      <c r="E406" s="53"/>
      <c r="F406" s="113"/>
      <c r="G406" s="126"/>
      <c r="H406" s="53"/>
      <c r="I406" s="53"/>
    </row>
    <row r="407" spans="1:9" x14ac:dyDescent="0.25">
      <c r="A407" s="53"/>
      <c r="B407" s="53"/>
      <c r="C407" s="53"/>
      <c r="D407" s="53"/>
      <c r="E407" s="53"/>
      <c r="F407" s="113"/>
      <c r="G407" s="126"/>
      <c r="H407" s="53"/>
      <c r="I407" s="53"/>
    </row>
    <row r="408" spans="1:9" x14ac:dyDescent="0.25">
      <c r="A408" s="53"/>
      <c r="B408" s="53"/>
      <c r="C408" s="53"/>
      <c r="D408" s="53"/>
      <c r="E408" s="53"/>
      <c r="F408" s="113"/>
      <c r="G408" s="126"/>
      <c r="H408" s="53"/>
      <c r="I408" s="53"/>
    </row>
    <row r="409" spans="1:9" x14ac:dyDescent="0.25">
      <c r="A409" s="53"/>
      <c r="B409" s="53"/>
      <c r="C409" s="53"/>
      <c r="D409" s="53"/>
      <c r="E409" s="53"/>
      <c r="F409" s="113"/>
      <c r="G409" s="126"/>
      <c r="H409" s="53"/>
      <c r="I409" s="53"/>
    </row>
    <row r="410" spans="1:9" x14ac:dyDescent="0.25">
      <c r="A410" s="53"/>
      <c r="B410" s="53"/>
      <c r="C410" s="53"/>
      <c r="D410" s="53"/>
      <c r="E410" s="53"/>
      <c r="F410" s="113"/>
      <c r="G410" s="126"/>
      <c r="H410" s="53"/>
      <c r="I410" s="53"/>
    </row>
    <row r="411" spans="1:9" x14ac:dyDescent="0.25">
      <c r="A411" s="53"/>
      <c r="B411" s="53"/>
      <c r="C411" s="53"/>
      <c r="D411" s="53"/>
      <c r="E411" s="53"/>
      <c r="F411" s="113"/>
      <c r="G411" s="126"/>
      <c r="H411" s="53"/>
      <c r="I411" s="53"/>
    </row>
    <row r="412" spans="1:9" x14ac:dyDescent="0.25">
      <c r="A412" s="53"/>
      <c r="B412" s="53"/>
      <c r="C412" s="53"/>
      <c r="D412" s="53"/>
      <c r="E412" s="53"/>
      <c r="F412" s="113"/>
      <c r="G412" s="126"/>
      <c r="H412" s="53"/>
      <c r="I412" s="53"/>
    </row>
    <row r="413" spans="1:9" x14ac:dyDescent="0.25">
      <c r="A413" s="53"/>
      <c r="B413" s="53"/>
      <c r="C413" s="53"/>
      <c r="D413" s="53"/>
      <c r="E413" s="53"/>
      <c r="F413" s="113"/>
      <c r="G413" s="126"/>
      <c r="H413" s="53"/>
      <c r="I413" s="53"/>
    </row>
    <row r="414" spans="1:9" x14ac:dyDescent="0.25">
      <c r="A414" s="53"/>
      <c r="B414" s="53"/>
      <c r="C414" s="53"/>
      <c r="D414" s="53"/>
      <c r="E414" s="53"/>
      <c r="F414" s="113"/>
      <c r="G414" s="126"/>
      <c r="H414" s="53"/>
      <c r="I414" s="53"/>
    </row>
    <row r="415" spans="1:9" x14ac:dyDescent="0.25">
      <c r="A415" s="53"/>
      <c r="B415" s="53"/>
      <c r="C415" s="53"/>
      <c r="D415" s="53"/>
      <c r="E415" s="53"/>
      <c r="F415" s="113"/>
      <c r="G415" s="126"/>
      <c r="H415" s="53"/>
      <c r="I415" s="53"/>
    </row>
    <row r="416" spans="1:9" x14ac:dyDescent="0.25">
      <c r="A416" s="53"/>
      <c r="B416" s="53"/>
      <c r="C416" s="53"/>
      <c r="D416" s="53"/>
      <c r="E416" s="53"/>
      <c r="F416" s="113"/>
      <c r="G416" s="126"/>
      <c r="H416" s="53"/>
      <c r="I416" s="53"/>
    </row>
    <row r="417" spans="1:9" x14ac:dyDescent="0.25">
      <c r="A417" s="53"/>
      <c r="B417" s="53"/>
      <c r="C417" s="53"/>
      <c r="D417" s="53"/>
      <c r="E417" s="53"/>
      <c r="F417" s="113"/>
      <c r="G417" s="126"/>
      <c r="H417" s="53"/>
      <c r="I417" s="53"/>
    </row>
    <row r="418" spans="1:9" x14ac:dyDescent="0.25">
      <c r="A418" s="53"/>
      <c r="B418" s="53"/>
      <c r="C418" s="53"/>
      <c r="D418" s="53"/>
      <c r="E418" s="53"/>
      <c r="F418" s="113"/>
      <c r="G418" s="126"/>
      <c r="H418" s="53"/>
      <c r="I418" s="53"/>
    </row>
    <row r="419" spans="1:9" x14ac:dyDescent="0.25">
      <c r="A419" s="53"/>
      <c r="B419" s="53"/>
      <c r="C419" s="53"/>
      <c r="D419" s="53"/>
      <c r="E419" s="53"/>
      <c r="F419" s="113"/>
      <c r="G419" s="126"/>
      <c r="H419" s="53"/>
      <c r="I419" s="53"/>
    </row>
    <row r="420" spans="1:9" x14ac:dyDescent="0.25">
      <c r="A420" s="53"/>
      <c r="B420" s="53"/>
      <c r="C420" s="53"/>
      <c r="D420" s="53"/>
      <c r="E420" s="53"/>
      <c r="F420" s="113"/>
      <c r="G420" s="126"/>
      <c r="H420" s="53"/>
      <c r="I420" s="53"/>
    </row>
    <row r="421" spans="1:9" x14ac:dyDescent="0.25">
      <c r="A421" s="53"/>
      <c r="B421" s="53"/>
      <c r="C421" s="53"/>
      <c r="D421" s="53"/>
      <c r="E421" s="53"/>
      <c r="F421" s="113"/>
      <c r="G421" s="126"/>
      <c r="H421" s="53"/>
      <c r="I421" s="53"/>
    </row>
    <row r="422" spans="1:9" x14ac:dyDescent="0.25">
      <c r="A422" s="53"/>
      <c r="B422" s="53"/>
      <c r="C422" s="53"/>
      <c r="D422" s="53"/>
      <c r="E422" s="53"/>
      <c r="F422" s="113"/>
      <c r="G422" s="126"/>
      <c r="H422" s="53"/>
      <c r="I422" s="53"/>
    </row>
    <row r="423" spans="1:9" x14ac:dyDescent="0.25">
      <c r="A423" s="53"/>
      <c r="B423" s="53"/>
      <c r="C423" s="53"/>
      <c r="D423" s="53"/>
      <c r="E423" s="53"/>
      <c r="F423" s="113"/>
      <c r="G423" s="126"/>
      <c r="H423" s="53"/>
      <c r="I423" s="53"/>
    </row>
    <row r="424" spans="1:9" x14ac:dyDescent="0.25">
      <c r="A424" s="53"/>
      <c r="B424" s="53"/>
      <c r="C424" s="53"/>
      <c r="D424" s="53"/>
      <c r="E424" s="53"/>
      <c r="F424" s="113"/>
      <c r="G424" s="126"/>
      <c r="H424" s="53"/>
      <c r="I424" s="53"/>
    </row>
    <row r="425" spans="1:9" x14ac:dyDescent="0.25">
      <c r="A425" s="53"/>
      <c r="B425" s="53"/>
      <c r="C425" s="53"/>
      <c r="D425" s="53"/>
      <c r="E425" s="53"/>
      <c r="F425" s="113"/>
      <c r="G425" s="126"/>
      <c r="H425" s="53"/>
      <c r="I425" s="53"/>
    </row>
    <row r="426" spans="1:9" x14ac:dyDescent="0.25">
      <c r="A426" s="53"/>
      <c r="B426" s="53"/>
      <c r="C426" s="53"/>
      <c r="D426" s="53"/>
      <c r="E426" s="53"/>
      <c r="F426" s="113"/>
      <c r="G426" s="126"/>
      <c r="H426" s="53"/>
      <c r="I426" s="53"/>
    </row>
    <row r="427" spans="1:9" x14ac:dyDescent="0.25">
      <c r="A427" s="53"/>
      <c r="B427" s="53"/>
      <c r="C427" s="53"/>
      <c r="D427" s="53"/>
      <c r="E427" s="53"/>
      <c r="F427" s="113"/>
      <c r="G427" s="126"/>
      <c r="H427" s="53"/>
      <c r="I427" s="53"/>
    </row>
    <row r="428" spans="1:9" x14ac:dyDescent="0.25">
      <c r="A428" s="53"/>
      <c r="B428" s="53"/>
      <c r="C428" s="53"/>
      <c r="D428" s="53"/>
      <c r="E428" s="53"/>
      <c r="F428" s="113"/>
      <c r="G428" s="126"/>
      <c r="H428" s="53"/>
      <c r="I428" s="53"/>
    </row>
    <row r="429" spans="1:9" x14ac:dyDescent="0.25">
      <c r="A429" s="53"/>
      <c r="B429" s="53"/>
      <c r="C429" s="53"/>
      <c r="D429" s="53"/>
      <c r="E429" s="53"/>
      <c r="F429" s="113"/>
      <c r="G429" s="126"/>
      <c r="H429" s="53"/>
      <c r="I429" s="53"/>
    </row>
    <row r="430" spans="1:9" x14ac:dyDescent="0.25">
      <c r="A430" s="53"/>
      <c r="B430" s="53"/>
      <c r="C430" s="53"/>
      <c r="D430" s="53"/>
      <c r="E430" s="53"/>
      <c r="F430" s="113"/>
      <c r="G430" s="126"/>
      <c r="H430" s="53"/>
      <c r="I430" s="53"/>
    </row>
    <row r="431" spans="1:9" x14ac:dyDescent="0.25">
      <c r="A431" s="53"/>
      <c r="B431" s="53"/>
      <c r="C431" s="53"/>
      <c r="D431" s="53"/>
      <c r="E431" s="53"/>
      <c r="F431" s="113"/>
      <c r="G431" s="126"/>
      <c r="H431" s="53"/>
      <c r="I431" s="53"/>
    </row>
    <row r="432" spans="1:9" x14ac:dyDescent="0.25">
      <c r="A432" s="53"/>
      <c r="B432" s="53"/>
      <c r="C432" s="53"/>
      <c r="D432" s="53"/>
      <c r="E432" s="53"/>
      <c r="F432" s="113"/>
      <c r="G432" s="126"/>
      <c r="H432" s="53"/>
      <c r="I432" s="53"/>
    </row>
    <row r="433" spans="1:9" x14ac:dyDescent="0.25">
      <c r="A433" s="53"/>
      <c r="B433" s="53"/>
      <c r="C433" s="53"/>
      <c r="D433" s="53"/>
      <c r="E433" s="53"/>
      <c r="F433" s="113"/>
      <c r="G433" s="126"/>
      <c r="H433" s="53"/>
      <c r="I433" s="53"/>
    </row>
    <row r="434" spans="1:9" x14ac:dyDescent="0.25">
      <c r="A434" s="53"/>
      <c r="B434" s="53"/>
      <c r="C434" s="53"/>
      <c r="D434" s="53"/>
      <c r="E434" s="53"/>
      <c r="F434" s="113"/>
      <c r="G434" s="126"/>
      <c r="H434" s="53"/>
      <c r="I434" s="53"/>
    </row>
    <row r="435" spans="1:9" x14ac:dyDescent="0.25">
      <c r="A435" s="53"/>
      <c r="B435" s="53"/>
      <c r="C435" s="53"/>
      <c r="D435" s="53"/>
      <c r="E435" s="53"/>
      <c r="F435" s="113"/>
      <c r="G435" s="126"/>
      <c r="H435" s="53"/>
      <c r="I435" s="53"/>
    </row>
    <row r="436" spans="1:9" x14ac:dyDescent="0.25">
      <c r="A436" s="53"/>
      <c r="B436" s="53"/>
      <c r="C436" s="53"/>
      <c r="D436" s="53"/>
      <c r="E436" s="53"/>
      <c r="F436" s="113"/>
      <c r="G436" s="126"/>
      <c r="H436" s="53"/>
      <c r="I436" s="53"/>
    </row>
    <row r="437" spans="1:9" x14ac:dyDescent="0.25">
      <c r="A437" s="53"/>
      <c r="B437" s="53"/>
      <c r="C437" s="53"/>
      <c r="D437" s="53"/>
      <c r="E437" s="53"/>
      <c r="F437" s="113"/>
      <c r="G437" s="126"/>
      <c r="H437" s="53"/>
      <c r="I437" s="53"/>
    </row>
    <row r="438" spans="1:9" x14ac:dyDescent="0.25">
      <c r="A438" s="53"/>
      <c r="B438" s="53"/>
      <c r="C438" s="53"/>
      <c r="D438" s="53"/>
      <c r="E438" s="53"/>
      <c r="F438" s="113"/>
      <c r="G438" s="126"/>
      <c r="H438" s="53"/>
      <c r="I438" s="53"/>
    </row>
    <row r="439" spans="1:9" x14ac:dyDescent="0.25">
      <c r="A439" s="53"/>
      <c r="B439" s="53"/>
      <c r="C439" s="53"/>
      <c r="D439" s="53"/>
      <c r="E439" s="53"/>
      <c r="F439" s="113"/>
      <c r="G439" s="126"/>
      <c r="H439" s="53"/>
      <c r="I439" s="53"/>
    </row>
    <row r="440" spans="1:9" x14ac:dyDescent="0.25">
      <c r="A440" s="53"/>
      <c r="B440" s="53"/>
      <c r="C440" s="53"/>
      <c r="D440" s="53"/>
      <c r="E440" s="53"/>
      <c r="F440" s="113"/>
      <c r="G440" s="126"/>
      <c r="H440" s="53"/>
      <c r="I440" s="53"/>
    </row>
    <row r="441" spans="1:9" x14ac:dyDescent="0.25">
      <c r="A441" s="53"/>
      <c r="B441" s="53"/>
      <c r="C441" s="53"/>
      <c r="D441" s="53"/>
      <c r="E441" s="53"/>
      <c r="F441" s="113"/>
      <c r="G441" s="126"/>
      <c r="H441" s="53"/>
      <c r="I441" s="53"/>
    </row>
    <row r="442" spans="1:9" x14ac:dyDescent="0.25">
      <c r="A442" s="53"/>
      <c r="B442" s="53"/>
      <c r="C442" s="53"/>
      <c r="D442" s="53"/>
      <c r="E442" s="53"/>
      <c r="F442" s="113"/>
      <c r="G442" s="126"/>
      <c r="H442" s="53"/>
      <c r="I442" s="53"/>
    </row>
    <row r="443" spans="1:9" x14ac:dyDescent="0.25">
      <c r="A443" s="53"/>
      <c r="B443" s="53"/>
      <c r="C443" s="53"/>
      <c r="D443" s="53"/>
      <c r="E443" s="53"/>
      <c r="F443" s="113"/>
      <c r="G443" s="126"/>
      <c r="H443" s="53"/>
      <c r="I443" s="53"/>
    </row>
    <row r="444" spans="1:9" x14ac:dyDescent="0.25">
      <c r="A444" s="53"/>
      <c r="B444" s="53"/>
      <c r="C444" s="53"/>
      <c r="D444" s="53"/>
      <c r="E444" s="53"/>
      <c r="F444" s="113"/>
      <c r="G444" s="126"/>
      <c r="H444" s="53"/>
      <c r="I444" s="53"/>
    </row>
    <row r="445" spans="1:9" x14ac:dyDescent="0.25">
      <c r="A445" s="53"/>
      <c r="B445" s="53"/>
      <c r="C445" s="53"/>
      <c r="D445" s="53"/>
      <c r="E445" s="53"/>
      <c r="F445" s="113"/>
      <c r="G445" s="126"/>
      <c r="H445" s="53"/>
      <c r="I445" s="53"/>
    </row>
    <row r="446" spans="1:9" x14ac:dyDescent="0.25">
      <c r="A446" s="53"/>
      <c r="B446" s="53"/>
      <c r="C446" s="53"/>
      <c r="D446" s="53"/>
      <c r="E446" s="53"/>
      <c r="F446" s="113"/>
      <c r="G446" s="126"/>
      <c r="H446" s="53"/>
      <c r="I446" s="53"/>
    </row>
    <row r="447" spans="1:9" x14ac:dyDescent="0.25">
      <c r="A447" s="53"/>
      <c r="B447" s="53"/>
      <c r="C447" s="53"/>
      <c r="D447" s="53"/>
      <c r="E447" s="53"/>
      <c r="F447" s="113"/>
      <c r="G447" s="126"/>
      <c r="H447" s="53"/>
      <c r="I447" s="53"/>
    </row>
    <row r="448" spans="1:9" x14ac:dyDescent="0.25">
      <c r="A448" s="53"/>
      <c r="B448" s="53"/>
      <c r="C448" s="53"/>
      <c r="D448" s="53"/>
      <c r="E448" s="53"/>
      <c r="F448" s="113"/>
      <c r="G448" s="126"/>
      <c r="H448" s="53"/>
      <c r="I448" s="53"/>
    </row>
    <row r="449" spans="1:9" x14ac:dyDescent="0.25">
      <c r="A449" s="53"/>
      <c r="B449" s="53"/>
      <c r="C449" s="53"/>
      <c r="D449" s="53"/>
      <c r="E449" s="53"/>
      <c r="F449" s="113"/>
      <c r="G449" s="126"/>
      <c r="H449" s="53"/>
      <c r="I449" s="53"/>
    </row>
    <row r="450" spans="1:9" x14ac:dyDescent="0.25">
      <c r="A450" s="53"/>
      <c r="B450" s="53"/>
      <c r="C450" s="53"/>
      <c r="D450" s="53"/>
      <c r="E450" s="53"/>
      <c r="F450" s="113"/>
      <c r="G450" s="126"/>
      <c r="H450" s="53"/>
      <c r="I450" s="53"/>
    </row>
    <row r="451" spans="1:9" x14ac:dyDescent="0.25">
      <c r="A451" s="53"/>
      <c r="B451" s="53"/>
      <c r="C451" s="53"/>
      <c r="D451" s="53"/>
      <c r="E451" s="53"/>
      <c r="F451" s="113"/>
      <c r="G451" s="126"/>
      <c r="H451" s="53"/>
      <c r="I451" s="53"/>
    </row>
    <row r="452" spans="1:9" x14ac:dyDescent="0.25">
      <c r="A452" s="53"/>
      <c r="B452" s="53"/>
      <c r="C452" s="53"/>
      <c r="D452" s="53"/>
      <c r="E452" s="53"/>
      <c r="F452" s="113"/>
      <c r="G452" s="126"/>
      <c r="H452" s="53"/>
      <c r="I452" s="53"/>
    </row>
    <row r="453" spans="1:9" x14ac:dyDescent="0.25">
      <c r="A453" s="53"/>
      <c r="B453" s="53"/>
      <c r="C453" s="53"/>
      <c r="D453" s="53"/>
      <c r="E453" s="53"/>
      <c r="F453" s="113"/>
      <c r="G453" s="126"/>
      <c r="H453" s="53"/>
      <c r="I453" s="53"/>
    </row>
    <row r="454" spans="1:9" x14ac:dyDescent="0.25">
      <c r="A454" s="53"/>
      <c r="B454" s="53"/>
      <c r="C454" s="53"/>
      <c r="D454" s="53"/>
      <c r="E454" s="53"/>
      <c r="F454" s="113"/>
      <c r="G454" s="126"/>
      <c r="H454" s="53"/>
      <c r="I454" s="53"/>
    </row>
    <row r="455" spans="1:9" x14ac:dyDescent="0.25">
      <c r="A455" s="53"/>
      <c r="B455" s="53"/>
      <c r="C455" s="53"/>
      <c r="D455" s="53"/>
      <c r="E455" s="53"/>
      <c r="F455" s="113"/>
      <c r="G455" s="126"/>
      <c r="H455" s="53"/>
      <c r="I455" s="53"/>
    </row>
    <row r="456" spans="1:9" x14ac:dyDescent="0.25">
      <c r="A456" s="53"/>
      <c r="B456" s="53"/>
      <c r="C456" s="53"/>
      <c r="D456" s="53"/>
      <c r="E456" s="53"/>
      <c r="F456" s="113"/>
      <c r="G456" s="126"/>
      <c r="H456" s="53"/>
      <c r="I456" s="53"/>
    </row>
    <row r="457" spans="1:9" x14ac:dyDescent="0.25">
      <c r="A457" s="53"/>
      <c r="B457" s="53"/>
      <c r="C457" s="53"/>
      <c r="D457" s="53"/>
      <c r="E457" s="53"/>
      <c r="F457" s="113"/>
      <c r="G457" s="126"/>
      <c r="H457" s="53"/>
      <c r="I457" s="53"/>
    </row>
    <row r="458" spans="1:9" x14ac:dyDescent="0.25">
      <c r="A458" s="53"/>
      <c r="B458" s="53"/>
      <c r="C458" s="53"/>
      <c r="D458" s="53"/>
      <c r="E458" s="53"/>
      <c r="F458" s="113"/>
      <c r="G458" s="126"/>
      <c r="H458" s="53"/>
      <c r="I458" s="53"/>
    </row>
    <row r="459" spans="1:9" x14ac:dyDescent="0.25">
      <c r="A459" s="53"/>
      <c r="B459" s="53"/>
      <c r="C459" s="53"/>
      <c r="D459" s="53"/>
      <c r="E459" s="53"/>
      <c r="F459" s="113"/>
      <c r="G459" s="126"/>
      <c r="H459" s="53"/>
      <c r="I459" s="53"/>
    </row>
    <row r="460" spans="1:9" x14ac:dyDescent="0.25">
      <c r="A460" s="53"/>
      <c r="B460" s="53"/>
      <c r="C460" s="53"/>
      <c r="D460" s="53"/>
      <c r="E460" s="53"/>
      <c r="F460" s="113"/>
      <c r="G460" s="126"/>
      <c r="H460" s="53"/>
      <c r="I460" s="53"/>
    </row>
    <row r="461" spans="1:9" x14ac:dyDescent="0.25">
      <c r="A461" s="53"/>
      <c r="B461" s="53"/>
      <c r="C461" s="53"/>
      <c r="D461" s="53"/>
      <c r="E461" s="53"/>
      <c r="F461" s="113"/>
      <c r="G461" s="126"/>
      <c r="H461" s="53"/>
      <c r="I461" s="53"/>
    </row>
    <row r="462" spans="1:9" x14ac:dyDescent="0.25">
      <c r="A462" s="53"/>
      <c r="B462" s="53"/>
      <c r="C462" s="53"/>
      <c r="D462" s="53"/>
      <c r="E462" s="53"/>
      <c r="F462" s="113"/>
      <c r="G462" s="126"/>
      <c r="H462" s="53"/>
      <c r="I462" s="53"/>
    </row>
    <row r="463" spans="1:9" x14ac:dyDescent="0.25">
      <c r="A463" s="53"/>
      <c r="B463" s="53"/>
      <c r="C463" s="53"/>
      <c r="D463" s="53"/>
      <c r="E463" s="53"/>
      <c r="F463" s="113"/>
      <c r="G463" s="126"/>
      <c r="H463" s="53"/>
      <c r="I463" s="53"/>
    </row>
    <row r="464" spans="1:9" x14ac:dyDescent="0.25">
      <c r="A464" s="53"/>
      <c r="B464" s="53"/>
      <c r="C464" s="53"/>
      <c r="D464" s="53"/>
      <c r="E464" s="53"/>
      <c r="F464" s="113"/>
      <c r="G464" s="126"/>
      <c r="H464" s="53"/>
      <c r="I464" s="53"/>
    </row>
    <row r="465" spans="1:9" x14ac:dyDescent="0.25">
      <c r="A465" s="53"/>
      <c r="B465" s="53"/>
      <c r="C465" s="53"/>
      <c r="D465" s="53"/>
      <c r="E465" s="53"/>
      <c r="F465" s="113"/>
      <c r="G465" s="126"/>
      <c r="H465" s="53"/>
      <c r="I465" s="53"/>
    </row>
    <row r="466" spans="1:9" x14ac:dyDescent="0.25">
      <c r="A466" s="53"/>
      <c r="B466" s="53"/>
      <c r="C466" s="53"/>
      <c r="D466" s="53"/>
      <c r="E466" s="53"/>
      <c r="F466" s="113"/>
      <c r="G466" s="126"/>
      <c r="H466" s="53"/>
      <c r="I466" s="53"/>
    </row>
    <row r="467" spans="1:9" x14ac:dyDescent="0.25">
      <c r="A467" s="53"/>
      <c r="B467" s="53"/>
      <c r="C467" s="53"/>
      <c r="D467" s="53"/>
      <c r="E467" s="53"/>
      <c r="F467" s="113"/>
      <c r="G467" s="126"/>
      <c r="H467" s="53"/>
      <c r="I467" s="53"/>
    </row>
    <row r="468" spans="1:9" x14ac:dyDescent="0.25">
      <c r="A468" s="53"/>
      <c r="B468" s="53"/>
      <c r="C468" s="53"/>
      <c r="D468" s="53"/>
      <c r="E468" s="53"/>
      <c r="F468" s="113"/>
      <c r="G468" s="126"/>
      <c r="H468" s="53"/>
      <c r="I468" s="53"/>
    </row>
    <row r="469" spans="1:9" x14ac:dyDescent="0.25">
      <c r="A469" s="53"/>
      <c r="B469" s="53"/>
      <c r="C469" s="53"/>
      <c r="D469" s="53"/>
      <c r="E469" s="53"/>
      <c r="F469" s="113"/>
      <c r="G469" s="126"/>
      <c r="H469" s="53"/>
      <c r="I469" s="53"/>
    </row>
    <row r="470" spans="1:9" x14ac:dyDescent="0.25">
      <c r="A470" s="53"/>
      <c r="B470" s="53"/>
      <c r="C470" s="53"/>
      <c r="D470" s="53"/>
      <c r="E470" s="53"/>
      <c r="F470" s="113"/>
      <c r="G470" s="126"/>
      <c r="H470" s="53"/>
      <c r="I470" s="53"/>
    </row>
    <row r="471" spans="1:9" x14ac:dyDescent="0.25">
      <c r="A471" s="53"/>
      <c r="B471" s="53"/>
      <c r="C471" s="53"/>
      <c r="D471" s="53"/>
      <c r="E471" s="53"/>
      <c r="F471" s="113"/>
      <c r="G471" s="126"/>
      <c r="H471" s="53"/>
      <c r="I471" s="53"/>
    </row>
    <row r="472" spans="1:9" x14ac:dyDescent="0.25">
      <c r="A472" s="53"/>
      <c r="B472" s="53"/>
      <c r="C472" s="53"/>
      <c r="D472" s="53"/>
      <c r="E472" s="53"/>
      <c r="F472" s="113"/>
      <c r="G472" s="126"/>
      <c r="H472" s="53"/>
      <c r="I472" s="53"/>
    </row>
    <row r="473" spans="1:9" x14ac:dyDescent="0.25">
      <c r="A473" s="53"/>
      <c r="B473" s="53"/>
      <c r="C473" s="53"/>
      <c r="D473" s="53"/>
      <c r="E473" s="53"/>
      <c r="F473" s="113"/>
      <c r="G473" s="126"/>
      <c r="H473" s="53"/>
      <c r="I473" s="53"/>
    </row>
    <row r="474" spans="1:9" x14ac:dyDescent="0.25">
      <c r="A474" s="53"/>
      <c r="B474" s="53"/>
      <c r="C474" s="53"/>
      <c r="D474" s="53"/>
      <c r="E474" s="53"/>
      <c r="F474" s="113"/>
      <c r="G474" s="126"/>
      <c r="H474" s="53"/>
      <c r="I474" s="53"/>
    </row>
    <row r="475" spans="1:9" x14ac:dyDescent="0.25">
      <c r="A475" s="53"/>
      <c r="B475" s="53"/>
      <c r="C475" s="53"/>
      <c r="D475" s="53"/>
      <c r="E475" s="53"/>
      <c r="F475" s="113"/>
      <c r="G475" s="126"/>
      <c r="H475" s="53"/>
      <c r="I475" s="53"/>
    </row>
    <row r="476" spans="1:9" x14ac:dyDescent="0.25">
      <c r="A476" s="53"/>
      <c r="B476" s="53"/>
      <c r="C476" s="53"/>
      <c r="D476" s="53"/>
      <c r="E476" s="53"/>
      <c r="F476" s="113"/>
      <c r="G476" s="126"/>
      <c r="H476" s="53"/>
      <c r="I476" s="53"/>
    </row>
    <row r="477" spans="1:9" x14ac:dyDescent="0.25">
      <c r="A477" s="53"/>
      <c r="B477" s="53"/>
      <c r="C477" s="53"/>
      <c r="D477" s="53"/>
      <c r="E477" s="53"/>
      <c r="F477" s="113"/>
      <c r="G477" s="126"/>
      <c r="H477" s="53"/>
      <c r="I477" s="53"/>
    </row>
    <row r="478" spans="1:9" x14ac:dyDescent="0.25">
      <c r="A478" s="53"/>
      <c r="B478" s="53"/>
      <c r="C478" s="53"/>
      <c r="D478" s="53"/>
      <c r="E478" s="53"/>
      <c r="F478" s="113"/>
      <c r="G478" s="126"/>
      <c r="H478" s="53"/>
      <c r="I478" s="53"/>
    </row>
    <row r="479" spans="1:9" x14ac:dyDescent="0.25">
      <c r="A479" s="53"/>
      <c r="B479" s="53"/>
      <c r="C479" s="53"/>
      <c r="D479" s="53"/>
      <c r="E479" s="53"/>
      <c r="F479" s="113"/>
      <c r="G479" s="126"/>
      <c r="H479" s="53"/>
      <c r="I479" s="53"/>
    </row>
    <row r="480" spans="1:9" x14ac:dyDescent="0.25">
      <c r="A480" s="53"/>
      <c r="B480" s="53"/>
      <c r="C480" s="53"/>
      <c r="D480" s="53"/>
      <c r="E480" s="53"/>
      <c r="F480" s="113"/>
      <c r="G480" s="126"/>
      <c r="H480" s="53"/>
      <c r="I480" s="53"/>
    </row>
    <row r="481" spans="1:9" x14ac:dyDescent="0.25">
      <c r="A481" s="53"/>
      <c r="B481" s="53"/>
      <c r="C481" s="53"/>
      <c r="D481" s="53"/>
      <c r="E481" s="53"/>
      <c r="F481" s="113"/>
      <c r="G481" s="126"/>
      <c r="H481" s="53"/>
      <c r="I481" s="53"/>
    </row>
    <row r="482" spans="1:9" x14ac:dyDescent="0.25">
      <c r="A482" s="53"/>
      <c r="B482" s="53"/>
      <c r="C482" s="53"/>
      <c r="D482" s="53"/>
      <c r="E482" s="53"/>
      <c r="F482" s="113"/>
      <c r="G482" s="126"/>
      <c r="H482" s="53"/>
      <c r="I482" s="53"/>
    </row>
    <row r="483" spans="1:9" x14ac:dyDescent="0.25">
      <c r="A483" s="53"/>
      <c r="B483" s="53"/>
      <c r="C483" s="53"/>
      <c r="D483" s="53"/>
      <c r="E483" s="53"/>
      <c r="F483" s="113"/>
      <c r="G483" s="126"/>
      <c r="H483" s="53"/>
      <c r="I483" s="53"/>
    </row>
    <row r="484" spans="1:9" x14ac:dyDescent="0.25">
      <c r="A484" s="53"/>
      <c r="B484" s="53"/>
      <c r="C484" s="53"/>
      <c r="D484" s="53"/>
      <c r="E484" s="53"/>
      <c r="F484" s="113"/>
      <c r="G484" s="126"/>
      <c r="H484" s="53"/>
      <c r="I484" s="53"/>
    </row>
    <row r="485" spans="1:9" x14ac:dyDescent="0.25">
      <c r="A485" s="53"/>
      <c r="B485" s="53"/>
      <c r="C485" s="53"/>
      <c r="D485" s="53"/>
      <c r="E485" s="53"/>
      <c r="F485" s="113"/>
      <c r="G485" s="126"/>
      <c r="H485" s="53"/>
      <c r="I485" s="53"/>
    </row>
    <row r="486" spans="1:9" x14ac:dyDescent="0.25">
      <c r="A486" s="53"/>
      <c r="B486" s="53"/>
      <c r="C486" s="53"/>
      <c r="D486" s="53"/>
      <c r="E486" s="53"/>
      <c r="F486" s="113"/>
      <c r="G486" s="126"/>
      <c r="H486" s="53"/>
      <c r="I486" s="53"/>
    </row>
    <row r="487" spans="1:9" x14ac:dyDescent="0.25">
      <c r="A487" s="53"/>
      <c r="B487" s="53"/>
      <c r="C487" s="53"/>
      <c r="D487" s="53"/>
      <c r="E487" s="53"/>
      <c r="F487" s="113"/>
      <c r="G487" s="126"/>
      <c r="H487" s="53"/>
      <c r="I487" s="53"/>
    </row>
    <row r="488" spans="1:9" x14ac:dyDescent="0.25">
      <c r="A488" s="53"/>
      <c r="B488" s="53"/>
      <c r="C488" s="53"/>
      <c r="D488" s="53"/>
      <c r="E488" s="53"/>
      <c r="F488" s="113"/>
      <c r="G488" s="126"/>
      <c r="H488" s="53"/>
      <c r="I488" s="53"/>
    </row>
    <row r="489" spans="1:9" x14ac:dyDescent="0.25">
      <c r="A489" s="53"/>
      <c r="B489" s="53"/>
      <c r="C489" s="53"/>
      <c r="D489" s="53"/>
      <c r="E489" s="53"/>
      <c r="F489" s="113"/>
      <c r="G489" s="126"/>
      <c r="H489" s="53"/>
      <c r="I489" s="53"/>
    </row>
    <row r="490" spans="1:9" x14ac:dyDescent="0.25">
      <c r="A490" s="53"/>
      <c r="B490" s="53"/>
      <c r="C490" s="53"/>
      <c r="D490" s="53"/>
      <c r="E490" s="53"/>
      <c r="F490" s="113"/>
      <c r="G490" s="126"/>
      <c r="H490" s="53"/>
      <c r="I490" s="53"/>
    </row>
    <row r="491" spans="1:9" x14ac:dyDescent="0.25">
      <c r="A491" s="53"/>
      <c r="B491" s="53"/>
      <c r="C491" s="53"/>
      <c r="D491" s="53"/>
      <c r="E491" s="53"/>
      <c r="F491" s="113"/>
      <c r="G491" s="126"/>
      <c r="H491" s="53"/>
      <c r="I491" s="53"/>
    </row>
    <row r="492" spans="1:9" x14ac:dyDescent="0.25">
      <c r="A492" s="53"/>
      <c r="B492" s="53"/>
      <c r="C492" s="53"/>
      <c r="D492" s="53"/>
      <c r="E492" s="53"/>
      <c r="F492" s="113"/>
      <c r="G492" s="126"/>
      <c r="H492" s="53"/>
      <c r="I492" s="53"/>
    </row>
    <row r="493" spans="1:9" x14ac:dyDescent="0.25">
      <c r="A493" s="53"/>
      <c r="B493" s="53"/>
      <c r="C493" s="53"/>
      <c r="D493" s="53"/>
      <c r="E493" s="53"/>
      <c r="F493" s="113"/>
      <c r="G493" s="126"/>
      <c r="H493" s="53"/>
      <c r="I493" s="53"/>
    </row>
    <row r="494" spans="1:9" x14ac:dyDescent="0.25">
      <c r="A494" s="53"/>
      <c r="B494" s="53"/>
      <c r="C494" s="53"/>
      <c r="D494" s="53"/>
      <c r="E494" s="53"/>
      <c r="F494" s="113"/>
      <c r="G494" s="126"/>
      <c r="H494" s="53"/>
      <c r="I494" s="53"/>
    </row>
    <row r="495" spans="1:9" x14ac:dyDescent="0.25">
      <c r="A495" s="53"/>
      <c r="B495" s="53"/>
      <c r="C495" s="53"/>
      <c r="D495" s="53"/>
      <c r="E495" s="53"/>
      <c r="F495" s="113"/>
      <c r="G495" s="126"/>
      <c r="H495" s="53"/>
      <c r="I495" s="53"/>
    </row>
    <row r="496" spans="1:9" x14ac:dyDescent="0.25">
      <c r="A496" s="53"/>
      <c r="B496" s="53"/>
      <c r="C496" s="53"/>
      <c r="D496" s="53"/>
      <c r="E496" s="53"/>
      <c r="F496" s="113"/>
      <c r="G496" s="126"/>
      <c r="H496" s="53"/>
      <c r="I496" s="53"/>
    </row>
    <row r="497" spans="1:9" x14ac:dyDescent="0.25">
      <c r="A497" s="53"/>
      <c r="B497" s="53"/>
      <c r="C497" s="53"/>
      <c r="D497" s="53"/>
      <c r="E497" s="53"/>
      <c r="F497" s="113"/>
      <c r="G497" s="126"/>
      <c r="H497" s="53"/>
      <c r="I497" s="53"/>
    </row>
    <row r="498" spans="1:9" x14ac:dyDescent="0.25">
      <c r="A498" s="53"/>
      <c r="B498" s="53"/>
      <c r="C498" s="53"/>
      <c r="D498" s="53"/>
      <c r="E498" s="53"/>
      <c r="F498" s="113"/>
      <c r="G498" s="126"/>
      <c r="H498" s="53"/>
      <c r="I498" s="53"/>
    </row>
    <row r="499" spans="1:9" x14ac:dyDescent="0.25">
      <c r="A499" s="53"/>
      <c r="B499" s="53"/>
      <c r="C499" s="53"/>
      <c r="D499" s="53"/>
      <c r="E499" s="53"/>
      <c r="F499" s="113"/>
      <c r="G499" s="126"/>
      <c r="H499" s="53"/>
      <c r="I499" s="53"/>
    </row>
    <row r="500" spans="1:9" x14ac:dyDescent="0.25">
      <c r="A500" s="53"/>
      <c r="B500" s="53"/>
      <c r="C500" s="53"/>
      <c r="D500" s="53"/>
      <c r="E500" s="53"/>
      <c r="F500" s="113"/>
      <c r="G500" s="126"/>
      <c r="H500" s="53"/>
      <c r="I500" s="53"/>
    </row>
    <row r="501" spans="1:9" x14ac:dyDescent="0.25">
      <c r="A501" s="53"/>
      <c r="B501" s="53"/>
      <c r="C501" s="53"/>
      <c r="D501" s="53"/>
      <c r="E501" s="53"/>
      <c r="F501" s="113"/>
      <c r="G501" s="126"/>
      <c r="H501" s="53"/>
      <c r="I501" s="53"/>
    </row>
    <row r="502" spans="1:9" x14ac:dyDescent="0.25">
      <c r="A502" s="53"/>
      <c r="B502" s="53"/>
      <c r="C502" s="53"/>
      <c r="D502" s="53"/>
      <c r="E502" s="53"/>
      <c r="F502" s="113"/>
      <c r="G502" s="126"/>
      <c r="H502" s="53"/>
      <c r="I502" s="53"/>
    </row>
    <row r="503" spans="1:9" x14ac:dyDescent="0.25">
      <c r="A503" s="53"/>
      <c r="B503" s="53"/>
      <c r="C503" s="53"/>
      <c r="D503" s="53"/>
      <c r="E503" s="53"/>
      <c r="F503" s="113"/>
      <c r="G503" s="126"/>
      <c r="H503" s="53"/>
      <c r="I503" s="53"/>
    </row>
    <row r="504" spans="1:9" x14ac:dyDescent="0.25">
      <c r="A504" s="53"/>
      <c r="B504" s="53"/>
      <c r="C504" s="53"/>
      <c r="D504" s="53"/>
      <c r="E504" s="53"/>
      <c r="F504" s="113"/>
      <c r="G504" s="126"/>
      <c r="H504" s="53"/>
      <c r="I504" s="53"/>
    </row>
    <row r="505" spans="1:9" x14ac:dyDescent="0.25">
      <c r="A505" s="53"/>
      <c r="B505" s="53"/>
      <c r="C505" s="53"/>
      <c r="D505" s="53"/>
      <c r="E505" s="53"/>
      <c r="F505" s="113"/>
      <c r="G505" s="126"/>
      <c r="H505" s="53"/>
      <c r="I505" s="53"/>
    </row>
    <row r="506" spans="1:9" x14ac:dyDescent="0.25">
      <c r="A506" s="53"/>
      <c r="B506" s="53"/>
      <c r="C506" s="53"/>
      <c r="D506" s="53"/>
      <c r="E506" s="53"/>
      <c r="F506" s="113"/>
      <c r="G506" s="126"/>
      <c r="H506" s="53"/>
      <c r="I506" s="53"/>
    </row>
    <row r="507" spans="1:9" x14ac:dyDescent="0.25">
      <c r="A507" s="53"/>
      <c r="B507" s="53"/>
      <c r="C507" s="53"/>
      <c r="D507" s="53"/>
      <c r="E507" s="53"/>
      <c r="F507" s="113"/>
      <c r="G507" s="126"/>
      <c r="H507" s="53"/>
      <c r="I507" s="53"/>
    </row>
    <row r="508" spans="1:9" x14ac:dyDescent="0.25">
      <c r="A508" s="53"/>
      <c r="B508" s="53"/>
      <c r="C508" s="53"/>
      <c r="D508" s="53"/>
      <c r="E508" s="53"/>
      <c r="F508" s="113"/>
      <c r="G508" s="126"/>
      <c r="H508" s="53"/>
      <c r="I508" s="53"/>
    </row>
    <row r="509" spans="1:9" x14ac:dyDescent="0.25">
      <c r="A509" s="53"/>
      <c r="B509" s="53"/>
      <c r="C509" s="53"/>
      <c r="D509" s="53"/>
      <c r="E509" s="53"/>
      <c r="F509" s="113"/>
      <c r="G509" s="126"/>
      <c r="H509" s="53"/>
      <c r="I509" s="53"/>
    </row>
    <row r="510" spans="1:9" x14ac:dyDescent="0.25">
      <c r="A510" s="53"/>
      <c r="B510" s="53"/>
      <c r="C510" s="53"/>
      <c r="D510" s="53"/>
      <c r="E510" s="53"/>
      <c r="F510" s="113"/>
      <c r="G510" s="126"/>
      <c r="H510" s="53"/>
      <c r="I510" s="53"/>
    </row>
    <row r="511" spans="1:9" x14ac:dyDescent="0.25">
      <c r="A511" s="53"/>
      <c r="B511" s="53"/>
      <c r="C511" s="53"/>
      <c r="D511" s="53"/>
      <c r="E511" s="53"/>
      <c r="F511" s="113"/>
      <c r="G511" s="126"/>
      <c r="H511" s="53"/>
      <c r="I511" s="53"/>
    </row>
    <row r="512" spans="1:9" x14ac:dyDescent="0.25">
      <c r="A512" s="53"/>
      <c r="B512" s="53"/>
      <c r="C512" s="53"/>
      <c r="D512" s="53"/>
      <c r="E512" s="53"/>
      <c r="F512" s="113"/>
      <c r="G512" s="126"/>
      <c r="H512" s="53"/>
      <c r="I512" s="53"/>
    </row>
    <row r="513" spans="1:9" x14ac:dyDescent="0.25">
      <c r="A513" s="53"/>
      <c r="B513" s="53"/>
      <c r="C513" s="53"/>
      <c r="D513" s="53"/>
      <c r="E513" s="53"/>
      <c r="F513" s="113"/>
      <c r="G513" s="126"/>
      <c r="H513" s="53"/>
      <c r="I513" s="53"/>
    </row>
    <row r="514" spans="1:9" x14ac:dyDescent="0.25">
      <c r="A514" s="53"/>
      <c r="B514" s="53"/>
      <c r="C514" s="53"/>
      <c r="D514" s="53"/>
      <c r="E514" s="53"/>
      <c r="F514" s="113"/>
      <c r="G514" s="126"/>
      <c r="H514" s="53"/>
      <c r="I514" s="53"/>
    </row>
    <row r="515" spans="1:9" x14ac:dyDescent="0.25">
      <c r="A515" s="53"/>
      <c r="B515" s="53"/>
      <c r="C515" s="53"/>
      <c r="D515" s="53"/>
      <c r="E515" s="53"/>
      <c r="F515" s="113"/>
      <c r="G515" s="126"/>
      <c r="H515" s="53"/>
      <c r="I515" s="53"/>
    </row>
    <row r="516" spans="1:9" x14ac:dyDescent="0.25">
      <c r="A516" s="53"/>
      <c r="B516" s="53"/>
      <c r="C516" s="53"/>
      <c r="D516" s="53"/>
      <c r="E516" s="53"/>
      <c r="F516" s="113"/>
      <c r="G516" s="126"/>
      <c r="H516" s="53"/>
      <c r="I516" s="53"/>
    </row>
    <row r="517" spans="1:9" x14ac:dyDescent="0.25">
      <c r="A517" s="53"/>
      <c r="B517" s="53"/>
      <c r="C517" s="53"/>
      <c r="D517" s="53"/>
      <c r="E517" s="53"/>
      <c r="F517" s="113"/>
      <c r="G517" s="126"/>
      <c r="H517" s="53"/>
      <c r="I517" s="53"/>
    </row>
    <row r="518" spans="1:9" x14ac:dyDescent="0.25">
      <c r="A518" s="53"/>
      <c r="B518" s="53"/>
      <c r="C518" s="53"/>
      <c r="D518" s="53"/>
      <c r="E518" s="53"/>
      <c r="F518" s="113"/>
      <c r="G518" s="126"/>
      <c r="H518" s="53"/>
      <c r="I518" s="53"/>
    </row>
    <row r="519" spans="1:9" x14ac:dyDescent="0.25">
      <c r="A519" s="53"/>
      <c r="B519" s="53"/>
      <c r="C519" s="53"/>
      <c r="D519" s="53"/>
      <c r="E519" s="53"/>
      <c r="F519" s="113"/>
      <c r="G519" s="126"/>
      <c r="H519" s="53"/>
      <c r="I519" s="53"/>
    </row>
    <row r="520" spans="1:9" x14ac:dyDescent="0.25">
      <c r="A520" s="53"/>
      <c r="B520" s="53"/>
      <c r="C520" s="53"/>
      <c r="D520" s="53"/>
      <c r="E520" s="53"/>
      <c r="F520" s="113"/>
      <c r="G520" s="126"/>
      <c r="H520" s="53"/>
      <c r="I520" s="53"/>
    </row>
    <row r="521" spans="1:9" x14ac:dyDescent="0.25">
      <c r="A521" s="53"/>
      <c r="B521" s="53"/>
      <c r="C521" s="53"/>
      <c r="D521" s="53"/>
      <c r="E521" s="53"/>
      <c r="F521" s="113"/>
      <c r="G521" s="126"/>
      <c r="H521" s="53"/>
      <c r="I521" s="53"/>
    </row>
    <row r="522" spans="1:9" x14ac:dyDescent="0.25">
      <c r="A522" s="53"/>
      <c r="B522" s="53"/>
      <c r="C522" s="53"/>
      <c r="D522" s="53"/>
      <c r="E522" s="53"/>
      <c r="F522" s="113"/>
      <c r="G522" s="126"/>
      <c r="H522" s="53"/>
      <c r="I522" s="53"/>
    </row>
    <row r="523" spans="1:9" x14ac:dyDescent="0.25">
      <c r="A523" s="53"/>
      <c r="B523" s="53"/>
      <c r="C523" s="53"/>
      <c r="D523" s="53"/>
      <c r="E523" s="53"/>
      <c r="F523" s="113"/>
      <c r="G523" s="126"/>
      <c r="H523" s="53"/>
      <c r="I523" s="53"/>
    </row>
    <row r="524" spans="1:9" x14ac:dyDescent="0.25">
      <c r="A524" s="53"/>
      <c r="B524" s="53"/>
      <c r="C524" s="53"/>
      <c r="D524" s="53"/>
      <c r="E524" s="53"/>
      <c r="F524" s="113"/>
      <c r="G524" s="126"/>
      <c r="H524" s="53"/>
      <c r="I524" s="53"/>
    </row>
    <row r="525" spans="1:9" x14ac:dyDescent="0.25">
      <c r="A525" s="53"/>
      <c r="B525" s="53"/>
      <c r="C525" s="53"/>
      <c r="D525" s="53"/>
      <c r="E525" s="53"/>
      <c r="F525" s="113"/>
      <c r="G525" s="126"/>
      <c r="H525" s="53"/>
      <c r="I525" s="53"/>
    </row>
    <row r="526" spans="1:9" x14ac:dyDescent="0.25">
      <c r="A526" s="53"/>
      <c r="B526" s="53"/>
      <c r="C526" s="53"/>
      <c r="D526" s="53"/>
      <c r="E526" s="53"/>
      <c r="F526" s="113"/>
      <c r="G526" s="126"/>
      <c r="H526" s="53"/>
      <c r="I526" s="53"/>
    </row>
    <row r="527" spans="1:9" x14ac:dyDescent="0.25">
      <c r="A527" s="53"/>
      <c r="B527" s="53"/>
      <c r="C527" s="53"/>
      <c r="D527" s="53"/>
      <c r="E527" s="53"/>
      <c r="F527" s="113"/>
      <c r="G527" s="126"/>
      <c r="H527" s="53"/>
      <c r="I527" s="53"/>
    </row>
    <row r="528" spans="1:9" x14ac:dyDescent="0.25">
      <c r="A528" s="53"/>
      <c r="B528" s="53"/>
      <c r="C528" s="53"/>
      <c r="D528" s="53"/>
      <c r="E528" s="53"/>
      <c r="F528" s="113"/>
      <c r="G528" s="126"/>
      <c r="H528" s="53"/>
      <c r="I528" s="53"/>
    </row>
    <row r="529" spans="1:9" x14ac:dyDescent="0.25">
      <c r="A529" s="53"/>
      <c r="B529" s="53"/>
      <c r="C529" s="53"/>
      <c r="D529" s="53"/>
      <c r="E529" s="53"/>
      <c r="F529" s="113"/>
      <c r="G529" s="126"/>
      <c r="H529" s="53"/>
      <c r="I529" s="53"/>
    </row>
    <row r="530" spans="1:9" x14ac:dyDescent="0.25">
      <c r="A530" s="53"/>
      <c r="B530" s="53"/>
      <c r="C530" s="53"/>
      <c r="D530" s="53"/>
      <c r="E530" s="53"/>
      <c r="F530" s="113"/>
      <c r="G530" s="126"/>
      <c r="H530" s="53"/>
      <c r="I530" s="53"/>
    </row>
    <row r="531" spans="1:9" x14ac:dyDescent="0.25">
      <c r="A531" s="53"/>
      <c r="B531" s="53"/>
      <c r="C531" s="53"/>
      <c r="D531" s="53"/>
      <c r="E531" s="53"/>
      <c r="F531" s="113"/>
      <c r="G531" s="126"/>
      <c r="H531" s="53"/>
      <c r="I531" s="53"/>
    </row>
    <row r="532" spans="1:9" x14ac:dyDescent="0.25">
      <c r="A532" s="53"/>
      <c r="B532" s="53"/>
      <c r="C532" s="53"/>
      <c r="D532" s="53"/>
      <c r="E532" s="53"/>
      <c r="F532" s="113"/>
      <c r="G532" s="126"/>
      <c r="H532" s="53"/>
      <c r="I532" s="53"/>
    </row>
    <row r="533" spans="1:9" x14ac:dyDescent="0.25">
      <c r="A533" s="53"/>
      <c r="B533" s="53"/>
      <c r="C533" s="53"/>
      <c r="D533" s="53"/>
      <c r="E533" s="53"/>
      <c r="F533" s="113"/>
      <c r="G533" s="126"/>
      <c r="H533" s="53"/>
      <c r="I533" s="53"/>
    </row>
    <row r="534" spans="1:9" x14ac:dyDescent="0.25">
      <c r="A534" s="53"/>
      <c r="B534" s="53"/>
      <c r="C534" s="53"/>
      <c r="D534" s="53"/>
      <c r="E534" s="53"/>
      <c r="F534" s="113"/>
      <c r="G534" s="126"/>
      <c r="H534" s="53"/>
      <c r="I534" s="53"/>
    </row>
    <row r="535" spans="1:9" x14ac:dyDescent="0.25">
      <c r="A535" s="53"/>
      <c r="B535" s="53"/>
      <c r="C535" s="53"/>
      <c r="D535" s="53"/>
      <c r="E535" s="53"/>
      <c r="F535" s="113"/>
      <c r="G535" s="126"/>
      <c r="H535" s="53"/>
      <c r="I535" s="53"/>
    </row>
    <row r="536" spans="1:9" x14ac:dyDescent="0.25">
      <c r="A536" s="53"/>
      <c r="B536" s="53"/>
      <c r="C536" s="53"/>
      <c r="D536" s="53"/>
      <c r="E536" s="53"/>
      <c r="F536" s="113"/>
      <c r="G536" s="126"/>
      <c r="H536" s="53"/>
      <c r="I536" s="53"/>
    </row>
    <row r="537" spans="1:9" x14ac:dyDescent="0.25">
      <c r="A537" s="53"/>
      <c r="B537" s="53"/>
      <c r="C537" s="53"/>
      <c r="D537" s="53"/>
      <c r="E537" s="53"/>
      <c r="F537" s="113"/>
      <c r="G537" s="126"/>
      <c r="H537" s="53"/>
      <c r="I537" s="53"/>
    </row>
    <row r="538" spans="1:9" x14ac:dyDescent="0.25">
      <c r="A538" s="53"/>
      <c r="B538" s="53"/>
      <c r="C538" s="53"/>
      <c r="D538" s="53"/>
      <c r="E538" s="53"/>
      <c r="F538" s="113"/>
      <c r="G538" s="126"/>
      <c r="H538" s="53"/>
      <c r="I538" s="53"/>
    </row>
    <row r="539" spans="1:9" x14ac:dyDescent="0.25">
      <c r="A539" s="53"/>
      <c r="B539" s="53"/>
      <c r="C539" s="53"/>
      <c r="D539" s="53"/>
      <c r="E539" s="53"/>
      <c r="F539" s="113"/>
      <c r="G539" s="126"/>
      <c r="H539" s="53"/>
      <c r="I539" s="53"/>
    </row>
    <row r="540" spans="1:9" x14ac:dyDescent="0.25">
      <c r="A540" s="53"/>
      <c r="B540" s="53"/>
      <c r="C540" s="53"/>
      <c r="D540" s="53"/>
      <c r="E540" s="53"/>
      <c r="F540" s="113"/>
      <c r="G540" s="126"/>
      <c r="H540" s="53"/>
      <c r="I540" s="53"/>
    </row>
    <row r="541" spans="1:9" x14ac:dyDescent="0.25">
      <c r="A541" s="53"/>
      <c r="B541" s="53"/>
      <c r="C541" s="53"/>
      <c r="D541" s="53"/>
      <c r="E541" s="53"/>
      <c r="F541" s="113"/>
      <c r="G541" s="126"/>
      <c r="H541" s="53"/>
      <c r="I541" s="53"/>
    </row>
    <row r="542" spans="1:9" x14ac:dyDescent="0.25">
      <c r="A542" s="53"/>
      <c r="B542" s="53"/>
      <c r="C542" s="53"/>
      <c r="D542" s="53"/>
      <c r="E542" s="53"/>
      <c r="F542" s="113"/>
      <c r="G542" s="126"/>
      <c r="H542" s="53"/>
      <c r="I542" s="53"/>
    </row>
    <row r="543" spans="1:9" x14ac:dyDescent="0.25">
      <c r="A543" s="53"/>
      <c r="B543" s="53"/>
      <c r="C543" s="53"/>
      <c r="D543" s="53"/>
      <c r="E543" s="53"/>
      <c r="F543" s="113"/>
      <c r="G543" s="126"/>
      <c r="H543" s="53"/>
      <c r="I543" s="53"/>
    </row>
    <row r="544" spans="1:9" x14ac:dyDescent="0.25">
      <c r="A544" s="53"/>
      <c r="B544" s="53"/>
      <c r="C544" s="53"/>
      <c r="D544" s="53"/>
      <c r="E544" s="53"/>
      <c r="F544" s="113"/>
      <c r="G544" s="126"/>
      <c r="H544" s="53"/>
      <c r="I544" s="53"/>
    </row>
    <row r="545" spans="1:9" x14ac:dyDescent="0.25">
      <c r="A545" s="53"/>
      <c r="B545" s="53"/>
      <c r="C545" s="53"/>
      <c r="D545" s="53"/>
      <c r="E545" s="53"/>
      <c r="F545" s="113"/>
      <c r="G545" s="126"/>
      <c r="H545" s="53"/>
      <c r="I545" s="53"/>
    </row>
    <row r="546" spans="1:9" x14ac:dyDescent="0.25">
      <c r="A546" s="53"/>
      <c r="B546" s="53"/>
      <c r="C546" s="53"/>
      <c r="D546" s="53"/>
      <c r="E546" s="53"/>
      <c r="F546" s="113"/>
      <c r="G546" s="126"/>
      <c r="H546" s="53"/>
      <c r="I546" s="53"/>
    </row>
    <row r="547" spans="1:9" x14ac:dyDescent="0.25">
      <c r="A547" s="53"/>
      <c r="B547" s="53"/>
      <c r="C547" s="53"/>
      <c r="D547" s="53"/>
      <c r="E547" s="53"/>
      <c r="F547" s="113"/>
      <c r="G547" s="126"/>
      <c r="H547" s="53"/>
      <c r="I547" s="53"/>
    </row>
    <row r="548" spans="1:9" x14ac:dyDescent="0.25">
      <c r="A548" s="53"/>
      <c r="B548" s="53"/>
      <c r="C548" s="53"/>
      <c r="D548" s="53"/>
      <c r="E548" s="53"/>
      <c r="F548" s="113"/>
      <c r="G548" s="126"/>
      <c r="H548" s="53"/>
      <c r="I548" s="53"/>
    </row>
    <row r="549" spans="1:9" x14ac:dyDescent="0.25">
      <c r="A549" s="53"/>
      <c r="B549" s="53"/>
      <c r="C549" s="53"/>
      <c r="D549" s="53"/>
      <c r="E549" s="53"/>
      <c r="F549" s="113"/>
      <c r="G549" s="126"/>
      <c r="H549" s="53"/>
      <c r="I549" s="53"/>
    </row>
    <row r="550" spans="1:9" x14ac:dyDescent="0.25">
      <c r="A550" s="53"/>
      <c r="B550" s="53"/>
      <c r="C550" s="53"/>
      <c r="D550" s="53"/>
      <c r="E550" s="53"/>
      <c r="F550" s="113"/>
      <c r="G550" s="126"/>
      <c r="H550" s="53"/>
      <c r="I550" s="53"/>
    </row>
    <row r="551" spans="1:9" x14ac:dyDescent="0.25">
      <c r="A551" s="53"/>
      <c r="B551" s="53"/>
      <c r="C551" s="53"/>
      <c r="D551" s="53"/>
      <c r="E551" s="53"/>
      <c r="F551" s="113"/>
      <c r="G551" s="126"/>
      <c r="H551" s="53"/>
      <c r="I551" s="53"/>
    </row>
    <row r="552" spans="1:9" x14ac:dyDescent="0.25">
      <c r="A552" s="53"/>
      <c r="B552" s="53"/>
      <c r="C552" s="53"/>
      <c r="D552" s="53"/>
      <c r="E552" s="53"/>
      <c r="F552" s="113"/>
      <c r="G552" s="126"/>
      <c r="H552" s="53"/>
      <c r="I552" s="53"/>
    </row>
    <row r="553" spans="1:9" x14ac:dyDescent="0.25">
      <c r="A553" s="53"/>
      <c r="B553" s="53"/>
      <c r="C553" s="53"/>
      <c r="D553" s="53"/>
      <c r="E553" s="53"/>
      <c r="F553" s="113"/>
      <c r="G553" s="126"/>
      <c r="H553" s="53"/>
      <c r="I553" s="53"/>
    </row>
    <row r="554" spans="1:9" x14ac:dyDescent="0.25">
      <c r="A554" s="53"/>
      <c r="B554" s="53"/>
      <c r="C554" s="53"/>
      <c r="D554" s="53"/>
      <c r="E554" s="53"/>
      <c r="F554" s="113"/>
      <c r="G554" s="126"/>
      <c r="H554" s="53"/>
      <c r="I554" s="53"/>
    </row>
    <row r="555" spans="1:9" x14ac:dyDescent="0.25">
      <c r="A555" s="53"/>
      <c r="B555" s="53"/>
      <c r="C555" s="53"/>
      <c r="D555" s="53"/>
      <c r="E555" s="53"/>
      <c r="F555" s="113"/>
      <c r="G555" s="126"/>
      <c r="H555" s="53"/>
      <c r="I555" s="53"/>
    </row>
    <row r="556" spans="1:9" x14ac:dyDescent="0.25">
      <c r="A556" s="53"/>
      <c r="B556" s="53"/>
      <c r="C556" s="53"/>
      <c r="D556" s="53"/>
      <c r="E556" s="53"/>
      <c r="F556" s="113"/>
      <c r="G556" s="126"/>
      <c r="H556" s="53"/>
      <c r="I556" s="53"/>
    </row>
    <row r="557" spans="1:9" x14ac:dyDescent="0.25">
      <c r="A557" s="53"/>
      <c r="B557" s="53"/>
      <c r="C557" s="53"/>
      <c r="D557" s="53"/>
      <c r="E557" s="53"/>
      <c r="F557" s="113"/>
      <c r="G557" s="126"/>
      <c r="H557" s="53"/>
      <c r="I557" s="53"/>
    </row>
    <row r="558" spans="1:9" x14ac:dyDescent="0.25">
      <c r="A558" s="53"/>
      <c r="B558" s="53"/>
      <c r="C558" s="53"/>
      <c r="D558" s="53"/>
      <c r="E558" s="53"/>
      <c r="F558" s="113"/>
      <c r="G558" s="126"/>
      <c r="H558" s="53"/>
      <c r="I558" s="53"/>
    </row>
    <row r="559" spans="1:9" x14ac:dyDescent="0.25">
      <c r="A559" s="53"/>
      <c r="B559" s="53"/>
      <c r="C559" s="53"/>
      <c r="D559" s="53"/>
      <c r="E559" s="53"/>
      <c r="F559" s="113"/>
      <c r="G559" s="126"/>
      <c r="H559" s="53"/>
      <c r="I559" s="53"/>
    </row>
    <row r="560" spans="1:9" x14ac:dyDescent="0.25">
      <c r="A560" s="53"/>
      <c r="B560" s="53"/>
      <c r="C560" s="53"/>
      <c r="D560" s="53"/>
      <c r="E560" s="53"/>
      <c r="F560" s="113"/>
      <c r="G560" s="126"/>
      <c r="H560" s="53"/>
      <c r="I560" s="53"/>
    </row>
    <row r="561" spans="1:9" x14ac:dyDescent="0.25">
      <c r="A561" s="53"/>
      <c r="B561" s="53"/>
      <c r="C561" s="53"/>
      <c r="D561" s="53"/>
      <c r="E561" s="53"/>
      <c r="F561" s="113"/>
      <c r="G561" s="126"/>
      <c r="H561" s="53"/>
      <c r="I561" s="53"/>
    </row>
    <row r="562" spans="1:9" x14ac:dyDescent="0.25">
      <c r="A562" s="53"/>
      <c r="B562" s="53"/>
      <c r="C562" s="53"/>
      <c r="D562" s="53"/>
      <c r="E562" s="53"/>
      <c r="F562" s="113"/>
      <c r="G562" s="126"/>
      <c r="H562" s="53"/>
      <c r="I562" s="53"/>
    </row>
    <row r="563" spans="1:9" x14ac:dyDescent="0.25">
      <c r="A563" s="53"/>
      <c r="B563" s="53"/>
      <c r="C563" s="53"/>
      <c r="D563" s="53"/>
      <c r="E563" s="53"/>
      <c r="F563" s="113"/>
      <c r="G563" s="126"/>
      <c r="H563" s="53"/>
      <c r="I563" s="53"/>
    </row>
    <row r="564" spans="1:9" x14ac:dyDescent="0.25">
      <c r="A564" s="53"/>
      <c r="B564" s="53"/>
      <c r="C564" s="53"/>
      <c r="D564" s="53"/>
      <c r="E564" s="53"/>
      <c r="F564" s="113"/>
      <c r="G564" s="126"/>
      <c r="H564" s="53"/>
      <c r="I564" s="53"/>
    </row>
    <row r="565" spans="1:9" x14ac:dyDescent="0.25">
      <c r="A565" s="53"/>
      <c r="B565" s="53"/>
      <c r="C565" s="53"/>
      <c r="D565" s="53"/>
      <c r="E565" s="53"/>
      <c r="F565" s="113"/>
      <c r="G565" s="126"/>
      <c r="H565" s="53"/>
      <c r="I565" s="53"/>
    </row>
    <row r="566" spans="1:9" x14ac:dyDescent="0.25">
      <c r="A566" s="53"/>
      <c r="B566" s="53"/>
      <c r="C566" s="53"/>
      <c r="D566" s="53"/>
      <c r="E566" s="53"/>
      <c r="F566" s="113"/>
      <c r="G566" s="126"/>
      <c r="H566" s="53"/>
      <c r="I566" s="53"/>
    </row>
    <row r="567" spans="1:9" x14ac:dyDescent="0.25">
      <c r="A567" s="53"/>
      <c r="B567" s="53"/>
      <c r="C567" s="53"/>
      <c r="D567" s="53"/>
      <c r="E567" s="53"/>
      <c r="F567" s="113"/>
      <c r="G567" s="126"/>
      <c r="H567" s="53"/>
      <c r="I567" s="53"/>
    </row>
    <row r="568" spans="1:9" x14ac:dyDescent="0.25">
      <c r="A568" s="53"/>
      <c r="B568" s="53"/>
      <c r="C568" s="53"/>
      <c r="D568" s="53"/>
      <c r="E568" s="53"/>
      <c r="F568" s="113"/>
      <c r="G568" s="126"/>
      <c r="H568" s="53"/>
      <c r="I568" s="53"/>
    </row>
    <row r="569" spans="1:9" x14ac:dyDescent="0.25">
      <c r="A569" s="53"/>
      <c r="B569" s="53"/>
      <c r="C569" s="53"/>
      <c r="D569" s="53"/>
      <c r="E569" s="53"/>
      <c r="F569" s="113"/>
      <c r="G569" s="126"/>
      <c r="H569" s="53"/>
      <c r="I569" s="53"/>
    </row>
    <row r="570" spans="1:9" x14ac:dyDescent="0.25">
      <c r="A570" s="53"/>
      <c r="B570" s="53"/>
      <c r="C570" s="53"/>
      <c r="D570" s="53"/>
      <c r="E570" s="53"/>
      <c r="F570" s="113"/>
      <c r="G570" s="126"/>
      <c r="H570" s="53"/>
      <c r="I570" s="53"/>
    </row>
    <row r="571" spans="1:9" x14ac:dyDescent="0.25">
      <c r="A571" s="53"/>
      <c r="B571" s="53"/>
      <c r="C571" s="53"/>
      <c r="D571" s="53"/>
      <c r="E571" s="53"/>
      <c r="F571" s="113"/>
      <c r="G571" s="126"/>
      <c r="H571" s="53"/>
      <c r="I571" s="53"/>
    </row>
    <row r="572" spans="1:9" x14ac:dyDescent="0.25">
      <c r="A572" s="53"/>
      <c r="B572" s="53"/>
      <c r="C572" s="53"/>
      <c r="D572" s="53"/>
      <c r="E572" s="53"/>
      <c r="F572" s="113"/>
      <c r="G572" s="126"/>
      <c r="H572" s="53"/>
      <c r="I572" s="53"/>
    </row>
    <row r="573" spans="1:9" x14ac:dyDescent="0.25">
      <c r="A573" s="53"/>
      <c r="B573" s="53"/>
      <c r="C573" s="53"/>
      <c r="D573" s="53"/>
      <c r="E573" s="53"/>
      <c r="F573" s="113"/>
      <c r="G573" s="126"/>
      <c r="H573" s="53"/>
      <c r="I573" s="53"/>
    </row>
    <row r="574" spans="1:9" x14ac:dyDescent="0.25">
      <c r="A574" s="53"/>
      <c r="B574" s="53"/>
      <c r="C574" s="53"/>
      <c r="D574" s="53"/>
      <c r="E574" s="53"/>
      <c r="F574" s="113"/>
      <c r="G574" s="126"/>
      <c r="H574" s="53"/>
      <c r="I574" s="53"/>
    </row>
    <row r="575" spans="1:9" x14ac:dyDescent="0.25">
      <c r="A575" s="53"/>
      <c r="B575" s="53"/>
      <c r="C575" s="53"/>
      <c r="D575" s="53"/>
      <c r="E575" s="53"/>
      <c r="F575" s="113"/>
      <c r="G575" s="126"/>
      <c r="H575" s="53"/>
      <c r="I575" s="53"/>
    </row>
    <row r="576" spans="1:9" x14ac:dyDescent="0.25">
      <c r="A576" s="53"/>
      <c r="B576" s="53"/>
      <c r="C576" s="53"/>
      <c r="D576" s="53"/>
      <c r="E576" s="53"/>
      <c r="F576" s="113"/>
      <c r="G576" s="126"/>
      <c r="H576" s="53"/>
      <c r="I576" s="53"/>
    </row>
    <row r="577" spans="1:9" x14ac:dyDescent="0.25">
      <c r="A577" s="53"/>
      <c r="B577" s="53"/>
      <c r="C577" s="53"/>
      <c r="D577" s="53"/>
      <c r="E577" s="53"/>
      <c r="F577" s="113"/>
      <c r="G577" s="126"/>
      <c r="H577" s="53"/>
      <c r="I577" s="53"/>
    </row>
    <row r="578" spans="1:9" x14ac:dyDescent="0.25">
      <c r="A578" s="53"/>
      <c r="B578" s="53"/>
      <c r="C578" s="53"/>
      <c r="D578" s="53"/>
      <c r="E578" s="53"/>
      <c r="F578" s="113"/>
      <c r="G578" s="126"/>
      <c r="H578" s="53"/>
      <c r="I578" s="53"/>
    </row>
    <row r="579" spans="1:9" x14ac:dyDescent="0.25">
      <c r="A579" s="53"/>
      <c r="B579" s="53"/>
      <c r="C579" s="53"/>
      <c r="D579" s="53"/>
      <c r="E579" s="53"/>
      <c r="F579" s="113"/>
      <c r="G579" s="126"/>
      <c r="H579" s="53"/>
      <c r="I579" s="53"/>
    </row>
    <row r="580" spans="1:9" x14ac:dyDescent="0.25">
      <c r="A580" s="53"/>
      <c r="B580" s="53"/>
      <c r="C580" s="53"/>
      <c r="D580" s="53"/>
      <c r="E580" s="53"/>
      <c r="F580" s="113"/>
      <c r="G580" s="126"/>
      <c r="H580" s="53"/>
      <c r="I580" s="53"/>
    </row>
    <row r="581" spans="1:9" x14ac:dyDescent="0.25">
      <c r="A581" s="53"/>
      <c r="B581" s="53"/>
      <c r="C581" s="53"/>
      <c r="D581" s="53"/>
      <c r="E581" s="53"/>
      <c r="F581" s="113"/>
      <c r="G581" s="126"/>
      <c r="H581" s="53"/>
      <c r="I581" s="53"/>
    </row>
    <row r="582" spans="1:9" x14ac:dyDescent="0.25">
      <c r="A582" s="53"/>
      <c r="B582" s="53"/>
      <c r="C582" s="53"/>
      <c r="D582" s="53"/>
      <c r="E582" s="53"/>
      <c r="F582" s="113"/>
      <c r="G582" s="126"/>
      <c r="H582" s="53"/>
      <c r="I582" s="53"/>
    </row>
    <row r="583" spans="1:9" x14ac:dyDescent="0.25">
      <c r="A583" s="53"/>
      <c r="B583" s="53"/>
      <c r="C583" s="53"/>
      <c r="D583" s="53"/>
      <c r="E583" s="53"/>
      <c r="F583" s="113"/>
      <c r="G583" s="126"/>
      <c r="H583" s="53"/>
      <c r="I583" s="53"/>
    </row>
    <row r="584" spans="1:9" x14ac:dyDescent="0.25">
      <c r="A584" s="53"/>
      <c r="B584" s="53"/>
      <c r="C584" s="53"/>
      <c r="D584" s="53"/>
      <c r="E584" s="53"/>
      <c r="F584" s="113"/>
      <c r="G584" s="126"/>
      <c r="H584" s="53"/>
      <c r="I584" s="53"/>
    </row>
    <row r="585" spans="1:9" x14ac:dyDescent="0.25">
      <c r="A585" s="53"/>
      <c r="B585" s="53"/>
      <c r="C585" s="53"/>
      <c r="D585" s="53"/>
      <c r="E585" s="53"/>
      <c r="F585" s="113"/>
      <c r="G585" s="126"/>
      <c r="H585" s="53"/>
      <c r="I585" s="53"/>
    </row>
    <row r="586" spans="1:9" x14ac:dyDescent="0.25">
      <c r="A586" s="53"/>
      <c r="B586" s="53"/>
      <c r="C586" s="53"/>
      <c r="D586" s="53"/>
      <c r="E586" s="53"/>
      <c r="F586" s="113"/>
      <c r="G586" s="126"/>
      <c r="H586" s="53"/>
      <c r="I586" s="53"/>
    </row>
    <row r="587" spans="1:9" x14ac:dyDescent="0.25">
      <c r="A587" s="53"/>
      <c r="B587" s="53"/>
      <c r="C587" s="53"/>
      <c r="D587" s="53"/>
      <c r="E587" s="53"/>
      <c r="F587" s="113"/>
      <c r="G587" s="126"/>
      <c r="H587" s="53"/>
      <c r="I587" s="53"/>
    </row>
    <row r="588" spans="1:9" x14ac:dyDescent="0.25">
      <c r="A588" s="53"/>
      <c r="B588" s="53"/>
      <c r="C588" s="53"/>
      <c r="D588" s="53"/>
      <c r="E588" s="53"/>
      <c r="F588" s="113"/>
      <c r="G588" s="126"/>
      <c r="H588" s="53"/>
      <c r="I588" s="53"/>
    </row>
    <row r="589" spans="1:9" x14ac:dyDescent="0.25">
      <c r="A589" s="53"/>
      <c r="B589" s="53"/>
      <c r="C589" s="53"/>
      <c r="D589" s="53"/>
      <c r="E589" s="53"/>
      <c r="F589" s="113"/>
      <c r="G589" s="126"/>
      <c r="H589" s="53"/>
      <c r="I589" s="53"/>
    </row>
    <row r="590" spans="1:9" x14ac:dyDescent="0.25">
      <c r="A590" s="53"/>
      <c r="B590" s="53"/>
      <c r="C590" s="53"/>
      <c r="D590" s="53"/>
      <c r="E590" s="53"/>
      <c r="F590" s="113"/>
      <c r="G590" s="126"/>
      <c r="H590" s="53"/>
      <c r="I590" s="53"/>
    </row>
    <row r="591" spans="1:9" x14ac:dyDescent="0.25">
      <c r="A591" s="53"/>
      <c r="B591" s="53"/>
      <c r="C591" s="53"/>
      <c r="D591" s="53"/>
      <c r="E591" s="53"/>
      <c r="F591" s="113"/>
      <c r="G591" s="126"/>
      <c r="H591" s="53"/>
      <c r="I591" s="53"/>
    </row>
    <row r="592" spans="1:9" x14ac:dyDescent="0.25">
      <c r="A592" s="53"/>
      <c r="B592" s="53"/>
      <c r="C592" s="53"/>
      <c r="D592" s="53"/>
      <c r="E592" s="53"/>
      <c r="F592" s="113"/>
      <c r="G592" s="126"/>
      <c r="H592" s="53"/>
      <c r="I592" s="53"/>
    </row>
    <row r="593" spans="1:9" x14ac:dyDescent="0.25">
      <c r="A593" s="53"/>
      <c r="B593" s="53"/>
      <c r="C593" s="53"/>
      <c r="D593" s="53"/>
      <c r="E593" s="53"/>
      <c r="F593" s="113"/>
      <c r="G593" s="126"/>
      <c r="H593" s="53"/>
      <c r="I593" s="53"/>
    </row>
    <row r="594" spans="1:9" x14ac:dyDescent="0.25">
      <c r="A594" s="53"/>
      <c r="B594" s="53"/>
      <c r="C594" s="53"/>
      <c r="D594" s="53"/>
      <c r="E594" s="53"/>
      <c r="F594" s="113"/>
      <c r="G594" s="126"/>
      <c r="H594" s="53"/>
      <c r="I594" s="53"/>
    </row>
    <row r="595" spans="1:9" x14ac:dyDescent="0.25">
      <c r="A595" s="53"/>
      <c r="B595" s="53"/>
      <c r="C595" s="53"/>
      <c r="D595" s="53"/>
      <c r="E595" s="53"/>
      <c r="F595" s="113"/>
      <c r="G595" s="126"/>
      <c r="H595" s="53"/>
      <c r="I595" s="53"/>
    </row>
    <row r="596" spans="1:9" x14ac:dyDescent="0.25">
      <c r="A596" s="53"/>
      <c r="B596" s="53"/>
      <c r="C596" s="53"/>
      <c r="D596" s="53"/>
      <c r="E596" s="53"/>
      <c r="F596" s="113"/>
      <c r="G596" s="126"/>
      <c r="H596" s="53"/>
      <c r="I596" s="53"/>
    </row>
    <row r="597" spans="1:9" x14ac:dyDescent="0.25">
      <c r="A597" s="53"/>
      <c r="B597" s="53"/>
      <c r="C597" s="53"/>
      <c r="D597" s="53"/>
      <c r="E597" s="53"/>
      <c r="F597" s="113"/>
      <c r="G597" s="126"/>
      <c r="H597" s="53"/>
      <c r="I597" s="53"/>
    </row>
    <row r="598" spans="1:9" x14ac:dyDescent="0.25">
      <c r="A598" s="53"/>
      <c r="B598" s="53"/>
      <c r="C598" s="53"/>
      <c r="D598" s="53"/>
      <c r="E598" s="53"/>
      <c r="F598" s="113"/>
      <c r="G598" s="126"/>
      <c r="H598" s="53"/>
      <c r="I598" s="53"/>
    </row>
    <row r="599" spans="1:9" x14ac:dyDescent="0.25">
      <c r="A599" s="53"/>
      <c r="B599" s="53"/>
      <c r="C599" s="53"/>
      <c r="D599" s="53"/>
      <c r="E599" s="53"/>
      <c r="F599" s="113"/>
      <c r="G599" s="126"/>
      <c r="H599" s="53"/>
      <c r="I599" s="53"/>
    </row>
    <row r="600" spans="1:9" x14ac:dyDescent="0.25">
      <c r="A600" s="53"/>
      <c r="B600" s="53"/>
      <c r="C600" s="53"/>
      <c r="D600" s="53"/>
      <c r="E600" s="53"/>
      <c r="F600" s="113"/>
      <c r="G600" s="126"/>
      <c r="H600" s="53"/>
      <c r="I600" s="53"/>
    </row>
    <row r="601" spans="1:9" x14ac:dyDescent="0.25">
      <c r="A601" s="53"/>
      <c r="B601" s="53"/>
      <c r="C601" s="53"/>
      <c r="D601" s="53"/>
      <c r="E601" s="53"/>
      <c r="F601" s="113"/>
      <c r="G601" s="126"/>
      <c r="H601" s="53"/>
      <c r="I601" s="53"/>
    </row>
    <row r="602" spans="1:9" x14ac:dyDescent="0.25">
      <c r="A602" s="53"/>
      <c r="B602" s="53"/>
      <c r="C602" s="53"/>
      <c r="D602" s="53"/>
      <c r="E602" s="53"/>
      <c r="F602" s="113"/>
      <c r="G602" s="126"/>
      <c r="H602" s="53"/>
      <c r="I602" s="53"/>
    </row>
    <row r="603" spans="1:9" x14ac:dyDescent="0.25">
      <c r="A603" s="53"/>
      <c r="B603" s="53"/>
      <c r="C603" s="53"/>
      <c r="D603" s="53"/>
      <c r="E603" s="53"/>
      <c r="F603" s="113"/>
      <c r="G603" s="126"/>
      <c r="H603" s="53"/>
      <c r="I603" s="53"/>
    </row>
    <row r="604" spans="1:9" x14ac:dyDescent="0.25">
      <c r="A604" s="53"/>
      <c r="B604" s="53"/>
      <c r="C604" s="53"/>
      <c r="D604" s="53"/>
      <c r="E604" s="53"/>
      <c r="F604" s="113"/>
      <c r="G604" s="126"/>
      <c r="H604" s="53"/>
      <c r="I604" s="53"/>
    </row>
    <row r="605" spans="1:9" x14ac:dyDescent="0.25">
      <c r="A605" s="53"/>
      <c r="B605" s="53"/>
      <c r="C605" s="53"/>
      <c r="D605" s="53"/>
      <c r="E605" s="53"/>
      <c r="F605" s="113"/>
      <c r="G605" s="126"/>
      <c r="H605" s="53"/>
      <c r="I605" s="53"/>
    </row>
    <row r="606" spans="1:9" x14ac:dyDescent="0.25">
      <c r="A606" s="53"/>
      <c r="B606" s="53"/>
      <c r="C606" s="53"/>
      <c r="D606" s="53"/>
      <c r="E606" s="53"/>
      <c r="F606" s="113"/>
      <c r="G606" s="126"/>
      <c r="H606" s="53"/>
      <c r="I606" s="53"/>
    </row>
    <row r="607" spans="1:9" x14ac:dyDescent="0.25">
      <c r="A607" s="53"/>
      <c r="B607" s="53"/>
      <c r="C607" s="53"/>
      <c r="D607" s="53"/>
      <c r="E607" s="53"/>
      <c r="F607" s="113"/>
      <c r="G607" s="126"/>
      <c r="H607" s="53"/>
      <c r="I607" s="53"/>
    </row>
    <row r="608" spans="1:9" x14ac:dyDescent="0.25">
      <c r="A608" s="53"/>
      <c r="B608" s="53"/>
      <c r="C608" s="53"/>
      <c r="D608" s="53"/>
      <c r="E608" s="53"/>
      <c r="F608" s="113"/>
      <c r="G608" s="126"/>
      <c r="H608" s="53"/>
      <c r="I608" s="53"/>
    </row>
    <row r="609" spans="1:9" x14ac:dyDescent="0.25">
      <c r="A609" s="53"/>
      <c r="B609" s="53"/>
      <c r="C609" s="53"/>
      <c r="D609" s="53"/>
      <c r="E609" s="53"/>
      <c r="F609" s="113"/>
      <c r="G609" s="126"/>
      <c r="H609" s="53"/>
      <c r="I609" s="53"/>
    </row>
    <row r="610" spans="1:9" x14ac:dyDescent="0.25">
      <c r="A610" s="53"/>
      <c r="B610" s="53"/>
      <c r="C610" s="53"/>
      <c r="D610" s="53"/>
      <c r="E610" s="53"/>
      <c r="F610" s="113"/>
      <c r="G610" s="126"/>
      <c r="H610" s="53"/>
      <c r="I610" s="53"/>
    </row>
    <row r="611" spans="1:9" x14ac:dyDescent="0.25">
      <c r="A611" s="53"/>
      <c r="B611" s="53"/>
      <c r="C611" s="53"/>
      <c r="D611" s="53"/>
      <c r="E611" s="53"/>
      <c r="F611" s="113"/>
      <c r="G611" s="126"/>
      <c r="H611" s="53"/>
      <c r="I611" s="53"/>
    </row>
    <row r="612" spans="1:9" x14ac:dyDescent="0.25">
      <c r="A612" s="53"/>
      <c r="B612" s="53"/>
      <c r="C612" s="53"/>
      <c r="D612" s="53"/>
      <c r="E612" s="53"/>
      <c r="F612" s="113"/>
      <c r="G612" s="126"/>
      <c r="H612" s="53"/>
      <c r="I612" s="53"/>
    </row>
    <row r="613" spans="1:9" x14ac:dyDescent="0.25">
      <c r="A613" s="53"/>
      <c r="B613" s="53"/>
      <c r="C613" s="53"/>
      <c r="D613" s="53"/>
      <c r="E613" s="53"/>
      <c r="F613" s="113"/>
      <c r="G613" s="126"/>
      <c r="H613" s="53"/>
      <c r="I613" s="53"/>
    </row>
    <row r="614" spans="1:9" x14ac:dyDescent="0.25">
      <c r="A614" s="53"/>
      <c r="B614" s="53"/>
      <c r="C614" s="53"/>
      <c r="D614" s="53"/>
      <c r="E614" s="53"/>
      <c r="F614" s="113"/>
      <c r="G614" s="126"/>
      <c r="H614" s="53"/>
      <c r="I614" s="53"/>
    </row>
    <row r="615" spans="1:9" x14ac:dyDescent="0.25">
      <c r="A615" s="53"/>
      <c r="B615" s="53"/>
      <c r="C615" s="53"/>
      <c r="D615" s="53"/>
      <c r="E615" s="53"/>
      <c r="F615" s="113"/>
      <c r="G615" s="126"/>
      <c r="H615" s="53"/>
      <c r="I615" s="53"/>
    </row>
    <row r="616" spans="1:9" x14ac:dyDescent="0.25">
      <c r="A616" s="53"/>
      <c r="B616" s="53"/>
      <c r="C616" s="53"/>
      <c r="D616" s="53"/>
      <c r="E616" s="53"/>
      <c r="F616" s="113"/>
      <c r="G616" s="126"/>
      <c r="H616" s="53"/>
      <c r="I616" s="53"/>
    </row>
    <row r="617" spans="1:9" x14ac:dyDescent="0.25">
      <c r="A617" s="53"/>
      <c r="B617" s="53"/>
      <c r="C617" s="53"/>
      <c r="D617" s="53"/>
      <c r="E617" s="53"/>
      <c r="F617" s="113"/>
      <c r="G617" s="126"/>
      <c r="H617" s="53"/>
      <c r="I617" s="53"/>
    </row>
    <row r="618" spans="1:9" x14ac:dyDescent="0.25">
      <c r="A618" s="53"/>
      <c r="B618" s="53"/>
      <c r="C618" s="53"/>
      <c r="D618" s="53"/>
      <c r="E618" s="53"/>
      <c r="F618" s="113"/>
      <c r="G618" s="126"/>
      <c r="H618" s="53"/>
      <c r="I618" s="53"/>
    </row>
    <row r="619" spans="1:9" x14ac:dyDescent="0.25">
      <c r="A619" s="53"/>
      <c r="B619" s="53"/>
      <c r="C619" s="53"/>
      <c r="D619" s="53"/>
      <c r="E619" s="53"/>
      <c r="F619" s="113"/>
      <c r="G619" s="126"/>
      <c r="H619" s="53"/>
      <c r="I619" s="53"/>
    </row>
    <row r="620" spans="1:9" x14ac:dyDescent="0.25">
      <c r="A620" s="53"/>
      <c r="B620" s="53"/>
      <c r="C620" s="53"/>
      <c r="D620" s="53"/>
      <c r="E620" s="53"/>
      <c r="F620" s="113"/>
      <c r="G620" s="126"/>
      <c r="H620" s="53"/>
      <c r="I620" s="53"/>
    </row>
    <row r="621" spans="1:9" x14ac:dyDescent="0.25">
      <c r="A621" s="53"/>
      <c r="B621" s="53"/>
      <c r="C621" s="53"/>
      <c r="D621" s="53"/>
      <c r="E621" s="53"/>
      <c r="F621" s="113"/>
      <c r="G621" s="126"/>
      <c r="H621" s="53"/>
      <c r="I621" s="53"/>
    </row>
    <row r="622" spans="1:9" x14ac:dyDescent="0.25">
      <c r="A622" s="53"/>
      <c r="B622" s="53"/>
      <c r="C622" s="53"/>
      <c r="D622" s="53"/>
      <c r="E622" s="53"/>
      <c r="F622" s="113"/>
      <c r="G622" s="126"/>
      <c r="H622" s="53"/>
      <c r="I622" s="53"/>
    </row>
    <row r="623" spans="1:9" x14ac:dyDescent="0.25">
      <c r="A623" s="53"/>
      <c r="B623" s="53"/>
      <c r="C623" s="53"/>
      <c r="D623" s="53"/>
      <c r="E623" s="53"/>
      <c r="F623" s="113"/>
      <c r="G623" s="126"/>
      <c r="H623" s="53"/>
      <c r="I623" s="53"/>
    </row>
    <row r="624" spans="1:9" x14ac:dyDescent="0.25">
      <c r="A624" s="53"/>
      <c r="B624" s="53"/>
      <c r="C624" s="53"/>
      <c r="D624" s="53"/>
      <c r="E624" s="53"/>
      <c r="F624" s="113"/>
      <c r="G624" s="126"/>
      <c r="H624" s="53"/>
      <c r="I624" s="53"/>
    </row>
  </sheetData>
  <pageMargins left="0.7" right="0.7" top="0.75" bottom="0.75" header="0.3" footer="0.3"/>
  <pageSetup orientation="portrait" r:id="rId1"/>
  <headerFooter>
    <oddHeader>&amp;CPrint on Avery 5161</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D0C17-8C76-45D4-9944-BBA5F9DFF994}">
  <sheetPr codeName="Sheet8">
    <tabColor rgb="FF00B0F0"/>
  </sheetPr>
  <dimension ref="A1:G257"/>
  <sheetViews>
    <sheetView workbookViewId="0">
      <selection activeCell="F4" sqref="F4"/>
    </sheetView>
  </sheetViews>
  <sheetFormatPr defaultRowHeight="15" x14ac:dyDescent="0.25"/>
  <cols>
    <col min="1" max="1" width="10.7109375" customWidth="1"/>
    <col min="2" max="2" width="38.7109375" bestFit="1" customWidth="1"/>
    <col min="3" max="3" width="11.85546875" customWidth="1"/>
    <col min="4" max="4" width="13.5703125" style="139" customWidth="1"/>
    <col min="5" max="5" width="15.5703125" bestFit="1" customWidth="1"/>
    <col min="6" max="6" width="9.28515625" style="141" customWidth="1"/>
    <col min="7" max="7" width="13.140625" customWidth="1"/>
    <col min="12" max="12" width="11.42578125" customWidth="1"/>
  </cols>
  <sheetData>
    <row r="1" spans="1:7" ht="25.5" x14ac:dyDescent="0.25">
      <c r="A1" s="135" t="s">
        <v>65</v>
      </c>
      <c r="B1" s="136" t="s">
        <v>62</v>
      </c>
      <c r="C1" s="135" t="s">
        <v>66</v>
      </c>
      <c r="D1" s="135" t="s">
        <v>79</v>
      </c>
      <c r="E1" s="135" t="s">
        <v>80</v>
      </c>
      <c r="F1" s="137" t="s">
        <v>35</v>
      </c>
      <c r="G1" s="135" t="s">
        <v>81</v>
      </c>
    </row>
    <row r="2" spans="1:7" x14ac:dyDescent="0.25">
      <c r="A2" s="135" t="s">
        <v>82</v>
      </c>
      <c r="B2" s="136" t="s">
        <v>64</v>
      </c>
      <c r="C2" s="135" t="s">
        <v>76</v>
      </c>
      <c r="D2" s="138" t="str">
        <f>IF(ISBLANK('Eid List Entry'!C3),"",('Eid List Entry'!$H$7))</f>
        <v/>
      </c>
      <c r="E2" s="129" t="str">
        <f>IF(ISBLANK('Eid List Entry'!C3),"",('Eid List Entry'!$H$8))</f>
        <v/>
      </c>
      <c r="F2" s="140" t="str">
        <f>IF(ISBLANK('Eid List Entry'!C3),"",TEXT(('Eid List Entry'!$H$3),"MM/DD/YY"))</f>
        <v/>
      </c>
      <c r="G2" s="104" t="str">
        <f>IF(ISBLANK('Eid List Entry'!C3),"",('Eid List Entry'!$H$5))</f>
        <v/>
      </c>
    </row>
    <row r="3" spans="1:7" x14ac:dyDescent="0.25">
      <c r="A3" s="104" t="str">
        <f>'Eid List Entry'!B3</f>
        <v xml:space="preserve"> </v>
      </c>
      <c r="B3" s="104" t="str">
        <f>IF(ISBLANK('Eid List Entry'!C3),"",('Eid List Entry'!C3))</f>
        <v/>
      </c>
      <c r="C3" s="104" t="str">
        <f>IF(ISBLANK('Eid List Entry'!D3),"",('Eid List Entry'!D3))</f>
        <v/>
      </c>
      <c r="D3" s="138" t="str">
        <f>IF(ISBLANK('Eid List Entry'!C3),"",('Eid List Entry'!$H$7))</f>
        <v/>
      </c>
      <c r="E3" s="129" t="str">
        <f>IF(ISBLANK('Eid List Entry'!C3),"",('Eid List Entry'!$H$8))</f>
        <v/>
      </c>
      <c r="F3" s="140" t="str">
        <f>IF(ISBLANK('Eid List Entry'!C3),"",TEXT(('Eid List Entry'!$H$3),"MM/DD/YY"))</f>
        <v/>
      </c>
      <c r="G3" s="104" t="str">
        <f>IF(ISBLANK('Eid List Entry'!C3),"",('Eid List Entry'!$H$5))</f>
        <v/>
      </c>
    </row>
    <row r="4" spans="1:7" x14ac:dyDescent="0.25">
      <c r="A4" s="104" t="str">
        <f>'Eid List Entry'!B4</f>
        <v xml:space="preserve"> </v>
      </c>
      <c r="B4" s="104" t="str">
        <f>IF(ISBLANK('Eid List Entry'!C4),"",('Eid List Entry'!C4))</f>
        <v/>
      </c>
      <c r="C4" s="104" t="str">
        <f>IF(ISBLANK('Eid List Entry'!D4),"",('Eid List Entry'!D4))</f>
        <v/>
      </c>
      <c r="D4" s="138" t="str">
        <f>IF(ISBLANK('Eid List Entry'!C4),"",('Eid List Entry'!$H$7))</f>
        <v/>
      </c>
      <c r="E4" s="129" t="str">
        <f>IF(ISBLANK('Eid List Entry'!C4),"",('Eid List Entry'!$H$8))</f>
        <v/>
      </c>
      <c r="F4" s="140" t="str">
        <f>IF(ISBLANK('Eid List Entry'!C4),"",TEXT(('Eid List Entry'!$H$3),"MM/DD/YY"))</f>
        <v/>
      </c>
      <c r="G4" s="104" t="str">
        <f>IF(ISBLANK('Eid List Entry'!C4),"",('Eid List Entry'!$H$5))</f>
        <v/>
      </c>
    </row>
    <row r="5" spans="1:7" x14ac:dyDescent="0.25">
      <c r="A5" s="104" t="str">
        <f>'Eid List Entry'!B5</f>
        <v xml:space="preserve"> </v>
      </c>
      <c r="B5" s="104" t="str">
        <f>IF(ISBLANK('Eid List Entry'!C5),"",('Eid List Entry'!C5))</f>
        <v/>
      </c>
      <c r="C5" s="104" t="str">
        <f>IF(ISBLANK('Eid List Entry'!D5),"",('Eid List Entry'!D5))</f>
        <v/>
      </c>
      <c r="D5" s="138" t="str">
        <f>IF(ISBLANK('Eid List Entry'!C5),"",('Eid List Entry'!$H$7))</f>
        <v/>
      </c>
      <c r="E5" s="129" t="str">
        <f>IF(ISBLANK('Eid List Entry'!C5),"",('Eid List Entry'!$H$8))</f>
        <v/>
      </c>
      <c r="F5" s="140" t="str">
        <f>IF(ISBLANK('Eid List Entry'!C5),"",TEXT(('Eid List Entry'!$H$3),"MM/DD/YY"))</f>
        <v/>
      </c>
      <c r="G5" s="104" t="str">
        <f>IF(ISBLANK('Eid List Entry'!C5),"",('Eid List Entry'!$H$5))</f>
        <v/>
      </c>
    </row>
    <row r="6" spans="1:7" x14ac:dyDescent="0.25">
      <c r="A6" s="104" t="str">
        <f>'Eid List Entry'!B6</f>
        <v xml:space="preserve"> </v>
      </c>
      <c r="B6" s="104" t="str">
        <f>IF(ISBLANK('Eid List Entry'!C6),"",('Eid List Entry'!C6))</f>
        <v/>
      </c>
      <c r="C6" s="104" t="str">
        <f>IF(ISBLANK('Eid List Entry'!D6),"",('Eid List Entry'!D6))</f>
        <v/>
      </c>
      <c r="D6" s="138" t="str">
        <f>IF(ISBLANK('Eid List Entry'!C6),"",('Eid List Entry'!$H$7))</f>
        <v/>
      </c>
      <c r="E6" s="129" t="str">
        <f>IF(ISBLANK('Eid List Entry'!C6),"",('Eid List Entry'!$H$8))</f>
        <v/>
      </c>
      <c r="F6" s="140" t="str">
        <f>IF(ISBLANK('Eid List Entry'!C6),"",TEXT(('Eid List Entry'!$H$3),"MM/DD/YY"))</f>
        <v/>
      </c>
      <c r="G6" s="104" t="str">
        <f>IF(ISBLANK('Eid List Entry'!C6),"",('Eid List Entry'!$H$5))</f>
        <v/>
      </c>
    </row>
    <row r="7" spans="1:7" x14ac:dyDescent="0.25">
      <c r="A7" s="104" t="str">
        <f>'Eid List Entry'!B7</f>
        <v xml:space="preserve"> </v>
      </c>
      <c r="B7" s="104" t="str">
        <f>IF(ISBLANK('Eid List Entry'!C7),"",('Eid List Entry'!C7))</f>
        <v/>
      </c>
      <c r="C7" s="104" t="str">
        <f>IF(ISBLANK('Eid List Entry'!D7),"",('Eid List Entry'!D7))</f>
        <v/>
      </c>
      <c r="D7" s="138" t="str">
        <f>IF(ISBLANK('Eid List Entry'!C7),"",('Eid List Entry'!$H$7))</f>
        <v/>
      </c>
      <c r="E7" s="129" t="str">
        <f>IF(ISBLANK('Eid List Entry'!C7),"",('Eid List Entry'!$H$8))</f>
        <v/>
      </c>
      <c r="F7" s="140" t="str">
        <f>IF(ISBLANK('Eid List Entry'!C7),"",TEXT(('Eid List Entry'!$H$3),"MM/DD/YY"))</f>
        <v/>
      </c>
      <c r="G7" s="104" t="str">
        <f>IF(ISBLANK('Eid List Entry'!C7),"",('Eid List Entry'!$H$5))</f>
        <v/>
      </c>
    </row>
    <row r="8" spans="1:7" x14ac:dyDescent="0.25">
      <c r="A8" s="104" t="str">
        <f>'Eid List Entry'!B8</f>
        <v xml:space="preserve"> </v>
      </c>
      <c r="B8" s="104" t="str">
        <f>IF(ISBLANK('Eid List Entry'!C8),"",('Eid List Entry'!C8))</f>
        <v/>
      </c>
      <c r="C8" s="104" t="str">
        <f>IF(ISBLANK('Eid List Entry'!D8),"",('Eid List Entry'!D8))</f>
        <v/>
      </c>
      <c r="D8" s="138" t="str">
        <f>IF(ISBLANK('Eid List Entry'!C8),"",('Eid List Entry'!$H$7))</f>
        <v/>
      </c>
      <c r="E8" s="129" t="str">
        <f>IF(ISBLANK('Eid List Entry'!C8),"",('Eid List Entry'!$H$8))</f>
        <v/>
      </c>
      <c r="F8" s="140" t="str">
        <f>IF(ISBLANK('Eid List Entry'!C8),"",TEXT(('Eid List Entry'!$H$3),"MM/DD/YY"))</f>
        <v/>
      </c>
      <c r="G8" s="104" t="str">
        <f>IF(ISBLANK('Eid List Entry'!C8),"",('Eid List Entry'!$H$5))</f>
        <v/>
      </c>
    </row>
    <row r="9" spans="1:7" x14ac:dyDescent="0.25">
      <c r="A9" s="104" t="str">
        <f>'Eid List Entry'!B9</f>
        <v xml:space="preserve"> </v>
      </c>
      <c r="B9" s="104" t="str">
        <f>IF(ISBLANK('Eid List Entry'!C9),"",('Eid List Entry'!C9))</f>
        <v/>
      </c>
      <c r="C9" s="104" t="str">
        <f>IF(ISBLANK('Eid List Entry'!D9),"",('Eid List Entry'!D9))</f>
        <v/>
      </c>
      <c r="D9" s="138" t="str">
        <f>IF(ISBLANK('Eid List Entry'!C9),"",('Eid List Entry'!$H$7))</f>
        <v/>
      </c>
      <c r="E9" s="129" t="str">
        <f>IF(ISBLANK('Eid List Entry'!C9),"",('Eid List Entry'!$H$8))</f>
        <v/>
      </c>
      <c r="F9" s="140" t="str">
        <f>IF(ISBLANK('Eid List Entry'!C9),"",TEXT(('Eid List Entry'!$H$3),"MM/DD/YY"))</f>
        <v/>
      </c>
      <c r="G9" s="104" t="str">
        <f>IF(ISBLANK('Eid List Entry'!C9),"",('Eid List Entry'!$H$5))</f>
        <v/>
      </c>
    </row>
    <row r="10" spans="1:7" x14ac:dyDescent="0.25">
      <c r="A10" s="104" t="str">
        <f>'Eid List Entry'!B10</f>
        <v xml:space="preserve"> </v>
      </c>
      <c r="B10" s="104" t="str">
        <f>IF(ISBLANK('Eid List Entry'!C10),"",('Eid List Entry'!C10))</f>
        <v/>
      </c>
      <c r="C10" s="104" t="str">
        <f>IF(ISBLANK('Eid List Entry'!D10),"",('Eid List Entry'!D10))</f>
        <v/>
      </c>
      <c r="D10" s="138" t="str">
        <f>IF(ISBLANK('Eid List Entry'!C10),"",('Eid List Entry'!$H$7))</f>
        <v/>
      </c>
      <c r="E10" s="129" t="str">
        <f>IF(ISBLANK('Eid List Entry'!C10),"",('Eid List Entry'!$H$8))</f>
        <v/>
      </c>
      <c r="F10" s="140" t="str">
        <f>IF(ISBLANK('Eid List Entry'!C10),"",TEXT(('Eid List Entry'!$H$3),"MM/DD/YY"))</f>
        <v/>
      </c>
      <c r="G10" s="104" t="str">
        <f>IF(ISBLANK('Eid List Entry'!C10),"",('Eid List Entry'!$H$5))</f>
        <v/>
      </c>
    </row>
    <row r="11" spans="1:7" x14ac:dyDescent="0.25">
      <c r="A11" s="104" t="str">
        <f>'Eid List Entry'!B11</f>
        <v xml:space="preserve"> </v>
      </c>
      <c r="B11" s="104" t="str">
        <f>IF(ISBLANK('Eid List Entry'!C11),"",('Eid List Entry'!C11))</f>
        <v/>
      </c>
      <c r="C11" s="104" t="str">
        <f>IF(ISBLANK('Eid List Entry'!D11),"",('Eid List Entry'!D11))</f>
        <v/>
      </c>
      <c r="D11" s="138" t="str">
        <f>IF(ISBLANK('Eid List Entry'!C11),"",('Eid List Entry'!$H$7))</f>
        <v/>
      </c>
      <c r="E11" s="129" t="str">
        <f>IF(ISBLANK('Eid List Entry'!C11),"",('Eid List Entry'!$H$8))</f>
        <v/>
      </c>
      <c r="F11" s="140" t="str">
        <f>IF(ISBLANK('Eid List Entry'!C11),"",TEXT(('Eid List Entry'!$H$3),"MM/DD/YY"))</f>
        <v/>
      </c>
      <c r="G11" s="104" t="str">
        <f>IF(ISBLANK('Eid List Entry'!C11),"",('Eid List Entry'!$H$5))</f>
        <v/>
      </c>
    </row>
    <row r="12" spans="1:7" x14ac:dyDescent="0.25">
      <c r="A12" s="104" t="str">
        <f>'Eid List Entry'!B12</f>
        <v xml:space="preserve"> </v>
      </c>
      <c r="B12" s="104" t="str">
        <f>IF(ISBLANK('Eid List Entry'!C12),"",('Eid List Entry'!C12))</f>
        <v/>
      </c>
      <c r="C12" s="104" t="str">
        <f>IF(ISBLANK('Eid List Entry'!D12),"",('Eid List Entry'!D12))</f>
        <v/>
      </c>
      <c r="D12" s="138" t="str">
        <f>IF(ISBLANK('Eid List Entry'!C12),"",('Eid List Entry'!$H$7))</f>
        <v/>
      </c>
      <c r="E12" s="129" t="str">
        <f>IF(ISBLANK('Eid List Entry'!C12),"",('Eid List Entry'!$H$8))</f>
        <v/>
      </c>
      <c r="F12" s="140" t="str">
        <f>IF(ISBLANK('Eid List Entry'!C12),"",TEXT(('Eid List Entry'!$H$3),"MM/DD/YY"))</f>
        <v/>
      </c>
      <c r="G12" s="104" t="str">
        <f>IF(ISBLANK('Eid List Entry'!C12),"",('Eid List Entry'!$H$5))</f>
        <v/>
      </c>
    </row>
    <row r="13" spans="1:7" x14ac:dyDescent="0.25">
      <c r="A13" s="104" t="str">
        <f>'Eid List Entry'!B13</f>
        <v xml:space="preserve"> </v>
      </c>
      <c r="B13" s="104" t="str">
        <f>IF(ISBLANK('Eid List Entry'!C13),"",('Eid List Entry'!C13))</f>
        <v/>
      </c>
      <c r="C13" s="104" t="str">
        <f>IF(ISBLANK('Eid List Entry'!D13),"",('Eid List Entry'!D13))</f>
        <v/>
      </c>
      <c r="D13" s="138" t="str">
        <f>IF(ISBLANK('Eid List Entry'!C13),"",('Eid List Entry'!$H$7))</f>
        <v/>
      </c>
      <c r="E13" s="129" t="str">
        <f>IF(ISBLANK('Eid List Entry'!C13),"",('Eid List Entry'!$H$8))</f>
        <v/>
      </c>
      <c r="F13" s="140" t="str">
        <f>IF(ISBLANK('Eid List Entry'!C13),"",TEXT(('Eid List Entry'!$H$3),"MM/DD/YY"))</f>
        <v/>
      </c>
      <c r="G13" s="104" t="str">
        <f>IF(ISBLANK('Eid List Entry'!C13),"",('Eid List Entry'!$H$5))</f>
        <v/>
      </c>
    </row>
    <row r="14" spans="1:7" x14ac:dyDescent="0.25">
      <c r="A14" s="104" t="str">
        <f>'Eid List Entry'!B14</f>
        <v xml:space="preserve"> </v>
      </c>
      <c r="B14" s="104" t="str">
        <f>IF(ISBLANK('Eid List Entry'!C14),"",('Eid List Entry'!C14))</f>
        <v/>
      </c>
      <c r="C14" s="104" t="str">
        <f>IF(ISBLANK('Eid List Entry'!D14),"",('Eid List Entry'!D14))</f>
        <v/>
      </c>
      <c r="D14" s="138" t="str">
        <f>IF(ISBLANK('Eid List Entry'!C14),"",('Eid List Entry'!$H$7))</f>
        <v/>
      </c>
      <c r="E14" s="129" t="str">
        <f>IF(ISBLANK('Eid List Entry'!C14),"",('Eid List Entry'!$H$8))</f>
        <v/>
      </c>
      <c r="F14" s="140" t="str">
        <f>IF(ISBLANK('Eid List Entry'!C14),"",TEXT(('Eid List Entry'!$H$3),"MM/DD/YY"))</f>
        <v/>
      </c>
      <c r="G14" s="104" t="str">
        <f>IF(ISBLANK('Eid List Entry'!C14),"",('Eid List Entry'!$H$5))</f>
        <v/>
      </c>
    </row>
    <row r="15" spans="1:7" x14ac:dyDescent="0.25">
      <c r="A15" s="104" t="str">
        <f>'Eid List Entry'!B15</f>
        <v xml:space="preserve"> </v>
      </c>
      <c r="B15" s="104" t="str">
        <f>IF(ISBLANK('Eid List Entry'!C15),"",('Eid List Entry'!C15))</f>
        <v/>
      </c>
      <c r="C15" s="104" t="str">
        <f>IF(ISBLANK('Eid List Entry'!D15),"",('Eid List Entry'!D15))</f>
        <v/>
      </c>
      <c r="D15" s="138" t="str">
        <f>IF(ISBLANK('Eid List Entry'!C15),"",('Eid List Entry'!$H$7))</f>
        <v/>
      </c>
      <c r="E15" s="129" t="str">
        <f>IF(ISBLANK('Eid List Entry'!C15),"",('Eid List Entry'!$H$8))</f>
        <v/>
      </c>
      <c r="F15" s="140" t="str">
        <f>IF(ISBLANK('Eid List Entry'!C15),"",TEXT(('Eid List Entry'!$H$3),"MM/DD/YY"))</f>
        <v/>
      </c>
      <c r="G15" s="104" t="str">
        <f>IF(ISBLANK('Eid List Entry'!C15),"",('Eid List Entry'!$H$5))</f>
        <v/>
      </c>
    </row>
    <row r="16" spans="1:7" x14ac:dyDescent="0.25">
      <c r="A16" s="104" t="str">
        <f>'Eid List Entry'!B16</f>
        <v xml:space="preserve"> </v>
      </c>
      <c r="B16" s="104" t="str">
        <f>IF(ISBLANK('Eid List Entry'!C16),"",('Eid List Entry'!C16))</f>
        <v/>
      </c>
      <c r="C16" s="104" t="str">
        <f>IF(ISBLANK('Eid List Entry'!D16),"",('Eid List Entry'!D16))</f>
        <v/>
      </c>
      <c r="D16" s="138" t="str">
        <f>IF(ISBLANK('Eid List Entry'!C16),"",('Eid List Entry'!$H$7))</f>
        <v/>
      </c>
      <c r="E16" s="129" t="str">
        <f>IF(ISBLANK('Eid List Entry'!C16),"",('Eid List Entry'!$H$8))</f>
        <v/>
      </c>
      <c r="F16" s="140" t="str">
        <f>IF(ISBLANK('Eid List Entry'!C16),"",TEXT(('Eid List Entry'!$H$3),"MM/DD/YY"))</f>
        <v/>
      </c>
      <c r="G16" s="104" t="str">
        <f>IF(ISBLANK('Eid List Entry'!C16),"",('Eid List Entry'!$H$5))</f>
        <v/>
      </c>
    </row>
    <row r="17" spans="1:7" x14ac:dyDescent="0.25">
      <c r="A17" s="104" t="str">
        <f>'Eid List Entry'!B17</f>
        <v xml:space="preserve"> </v>
      </c>
      <c r="B17" s="104" t="str">
        <f>IF(ISBLANK('Eid List Entry'!C17),"",('Eid List Entry'!C17))</f>
        <v/>
      </c>
      <c r="C17" s="104" t="str">
        <f>IF(ISBLANK('Eid List Entry'!D17),"",('Eid List Entry'!D17))</f>
        <v/>
      </c>
      <c r="D17" s="138" t="str">
        <f>IF(ISBLANK('Eid List Entry'!C17),"",('Eid List Entry'!$H$7))</f>
        <v/>
      </c>
      <c r="E17" s="129" t="str">
        <f>IF(ISBLANK('Eid List Entry'!C17),"",('Eid List Entry'!$H$8))</f>
        <v/>
      </c>
      <c r="F17" s="140" t="str">
        <f>IF(ISBLANK('Eid List Entry'!C17),"",TEXT(('Eid List Entry'!$H$3),"MM/DD/YY"))</f>
        <v/>
      </c>
      <c r="G17" s="104" t="str">
        <f>IF(ISBLANK('Eid List Entry'!C17),"",('Eid List Entry'!$H$5))</f>
        <v/>
      </c>
    </row>
    <row r="18" spans="1:7" x14ac:dyDescent="0.25">
      <c r="A18" s="104" t="str">
        <f>'Eid List Entry'!B18</f>
        <v xml:space="preserve"> </v>
      </c>
      <c r="B18" s="104" t="str">
        <f>IF(ISBLANK('Eid List Entry'!C18),"",('Eid List Entry'!C18))</f>
        <v/>
      </c>
      <c r="C18" s="104" t="str">
        <f>IF(ISBLANK('Eid List Entry'!D18),"",('Eid List Entry'!D18))</f>
        <v/>
      </c>
      <c r="D18" s="138" t="str">
        <f>IF(ISBLANK('Eid List Entry'!C18),"",('Eid List Entry'!$H$7))</f>
        <v/>
      </c>
      <c r="E18" s="129" t="str">
        <f>IF(ISBLANK('Eid List Entry'!C18),"",('Eid List Entry'!$H$8))</f>
        <v/>
      </c>
      <c r="F18" s="140" t="str">
        <f>IF(ISBLANK('Eid List Entry'!C18),"",TEXT(('Eid List Entry'!$H$3),"MM/DD/YY"))</f>
        <v/>
      </c>
      <c r="G18" s="104" t="str">
        <f>IF(ISBLANK('Eid List Entry'!C18),"",('Eid List Entry'!$H$5))</f>
        <v/>
      </c>
    </row>
    <row r="19" spans="1:7" x14ac:dyDescent="0.25">
      <c r="A19" s="104" t="str">
        <f>'Eid List Entry'!B19</f>
        <v xml:space="preserve"> </v>
      </c>
      <c r="B19" s="104" t="str">
        <f>IF(ISBLANK('Eid List Entry'!C19),"",('Eid List Entry'!C19))</f>
        <v/>
      </c>
      <c r="C19" s="104" t="str">
        <f>IF(ISBLANK('Eid List Entry'!D19),"",('Eid List Entry'!D19))</f>
        <v/>
      </c>
      <c r="D19" s="138" t="str">
        <f>IF(ISBLANK('Eid List Entry'!C19),"",('Eid List Entry'!$H$7))</f>
        <v/>
      </c>
      <c r="E19" s="129" t="str">
        <f>IF(ISBLANK('Eid List Entry'!C19),"",('Eid List Entry'!$H$8))</f>
        <v/>
      </c>
      <c r="F19" s="140" t="str">
        <f>IF(ISBLANK('Eid List Entry'!C19),"",TEXT(('Eid List Entry'!$H$3),"MM/DD/YY"))</f>
        <v/>
      </c>
      <c r="G19" s="104" t="str">
        <f>IF(ISBLANK('Eid List Entry'!C19),"",('Eid List Entry'!$H$5))</f>
        <v/>
      </c>
    </row>
    <row r="20" spans="1:7" x14ac:dyDescent="0.25">
      <c r="A20" s="104" t="str">
        <f>'Eid List Entry'!B20</f>
        <v xml:space="preserve"> </v>
      </c>
      <c r="B20" s="104" t="str">
        <f>IF(ISBLANK('Eid List Entry'!C20),"",('Eid List Entry'!C20))</f>
        <v/>
      </c>
      <c r="C20" s="104" t="str">
        <f>IF(ISBLANK('Eid List Entry'!D20),"",('Eid List Entry'!D20))</f>
        <v/>
      </c>
      <c r="D20" s="138" t="str">
        <f>IF(ISBLANK('Eid List Entry'!C20),"",('Eid List Entry'!$H$7))</f>
        <v/>
      </c>
      <c r="E20" s="129" t="str">
        <f>IF(ISBLANK('Eid List Entry'!C20),"",('Eid List Entry'!$H$8))</f>
        <v/>
      </c>
      <c r="F20" s="140" t="str">
        <f>IF(ISBLANK('Eid List Entry'!C20),"",TEXT(('Eid List Entry'!$H$3),"MM/DD/YY"))</f>
        <v/>
      </c>
      <c r="G20" s="104" t="str">
        <f>IF(ISBLANK('Eid List Entry'!C20),"",('Eid List Entry'!$H$5))</f>
        <v/>
      </c>
    </row>
    <row r="21" spans="1:7" x14ac:dyDescent="0.25">
      <c r="A21" s="104" t="str">
        <f>'Eid List Entry'!B21</f>
        <v xml:space="preserve"> </v>
      </c>
      <c r="B21" s="104" t="str">
        <f>IF(ISBLANK('Eid List Entry'!C21),"",('Eid List Entry'!C21))</f>
        <v/>
      </c>
      <c r="C21" s="104" t="str">
        <f>IF(ISBLANK('Eid List Entry'!D21),"",('Eid List Entry'!D21))</f>
        <v/>
      </c>
      <c r="D21" s="138" t="str">
        <f>IF(ISBLANK('Eid List Entry'!C21),"",('Eid List Entry'!$H$7))</f>
        <v/>
      </c>
      <c r="E21" s="129" t="str">
        <f>IF(ISBLANK('Eid List Entry'!C21),"",('Eid List Entry'!$H$8))</f>
        <v/>
      </c>
      <c r="F21" s="140" t="str">
        <f>IF(ISBLANK('Eid List Entry'!C21),"",TEXT(('Eid List Entry'!$H$3),"MM/DD/YY"))</f>
        <v/>
      </c>
      <c r="G21" s="104" t="str">
        <f>IF(ISBLANK('Eid List Entry'!C21),"",('Eid List Entry'!$H$5))</f>
        <v/>
      </c>
    </row>
    <row r="22" spans="1:7" x14ac:dyDescent="0.25">
      <c r="A22" s="104" t="str">
        <f>'Eid List Entry'!B22</f>
        <v xml:space="preserve"> </v>
      </c>
      <c r="B22" s="104" t="str">
        <f>IF(ISBLANK('Eid List Entry'!C22),"",('Eid List Entry'!C22))</f>
        <v/>
      </c>
      <c r="C22" s="104" t="str">
        <f>IF(ISBLANK('Eid List Entry'!D22),"",('Eid List Entry'!D22))</f>
        <v/>
      </c>
      <c r="D22" s="138" t="str">
        <f>IF(ISBLANK('Eid List Entry'!C22),"",('Eid List Entry'!$H$7))</f>
        <v/>
      </c>
      <c r="E22" s="129" t="str">
        <f>IF(ISBLANK('Eid List Entry'!C22),"",('Eid List Entry'!$H$8))</f>
        <v/>
      </c>
      <c r="F22" s="140" t="str">
        <f>IF(ISBLANK('Eid List Entry'!C22),"",TEXT(('Eid List Entry'!$H$3),"MM/DD/YY"))</f>
        <v/>
      </c>
      <c r="G22" s="104" t="str">
        <f>IF(ISBLANK('Eid List Entry'!C22),"",('Eid List Entry'!$H$5))</f>
        <v/>
      </c>
    </row>
    <row r="23" spans="1:7" x14ac:dyDescent="0.25">
      <c r="A23" s="104" t="str">
        <f>'Eid List Entry'!B23</f>
        <v xml:space="preserve"> </v>
      </c>
      <c r="B23" s="104" t="str">
        <f>IF(ISBLANK('Eid List Entry'!C23),"",('Eid List Entry'!C23))</f>
        <v/>
      </c>
      <c r="C23" s="104" t="str">
        <f>IF(ISBLANK('Eid List Entry'!D23),"",('Eid List Entry'!D23))</f>
        <v/>
      </c>
      <c r="D23" s="138" t="str">
        <f>IF(ISBLANK('Eid List Entry'!C23),"",('Eid List Entry'!$H$7))</f>
        <v/>
      </c>
      <c r="E23" s="129" t="str">
        <f>IF(ISBLANK('Eid List Entry'!C23),"",('Eid List Entry'!$H$8))</f>
        <v/>
      </c>
      <c r="F23" s="140" t="str">
        <f>IF(ISBLANK('Eid List Entry'!C23),"",TEXT(('Eid List Entry'!$H$3),"MM/DD/YY"))</f>
        <v/>
      </c>
      <c r="G23" s="104" t="str">
        <f>IF(ISBLANK('Eid List Entry'!C23),"",('Eid List Entry'!$H$5))</f>
        <v/>
      </c>
    </row>
    <row r="24" spans="1:7" x14ac:dyDescent="0.25">
      <c r="A24" s="104" t="str">
        <f>'Eid List Entry'!B24</f>
        <v xml:space="preserve"> </v>
      </c>
      <c r="B24" s="104" t="str">
        <f>IF(ISBLANK('Eid List Entry'!C24),"",('Eid List Entry'!C24))</f>
        <v/>
      </c>
      <c r="C24" s="104" t="str">
        <f>IF(ISBLANK('Eid List Entry'!D24),"",('Eid List Entry'!D24))</f>
        <v/>
      </c>
      <c r="D24" s="138" t="str">
        <f>IF(ISBLANK('Eid List Entry'!C24),"",('Eid List Entry'!$H$7))</f>
        <v/>
      </c>
      <c r="E24" s="129" t="str">
        <f>IF(ISBLANK('Eid List Entry'!C24),"",('Eid List Entry'!$H$8))</f>
        <v/>
      </c>
      <c r="F24" s="140" t="str">
        <f>IF(ISBLANK('Eid List Entry'!C24),"",TEXT(('Eid List Entry'!$H$3),"MM/DD/YY"))</f>
        <v/>
      </c>
      <c r="G24" s="104" t="str">
        <f>IF(ISBLANK('Eid List Entry'!C24),"",('Eid List Entry'!$H$5))</f>
        <v/>
      </c>
    </row>
    <row r="25" spans="1:7" x14ac:dyDescent="0.25">
      <c r="A25" s="104" t="str">
        <f>'Eid List Entry'!B25</f>
        <v xml:space="preserve"> </v>
      </c>
      <c r="B25" s="104" t="str">
        <f>IF(ISBLANK('Eid List Entry'!C25),"",('Eid List Entry'!C25))</f>
        <v/>
      </c>
      <c r="C25" s="104" t="str">
        <f>IF(ISBLANK('Eid List Entry'!D25),"",('Eid List Entry'!D25))</f>
        <v/>
      </c>
      <c r="D25" s="138" t="str">
        <f>IF(ISBLANK('Eid List Entry'!C25),"",('Eid List Entry'!$H$7))</f>
        <v/>
      </c>
      <c r="E25" s="129" t="str">
        <f>IF(ISBLANK('Eid List Entry'!C25),"",('Eid List Entry'!$H$8))</f>
        <v/>
      </c>
      <c r="F25" s="140" t="str">
        <f>IF(ISBLANK('Eid List Entry'!C25),"",TEXT(('Eid List Entry'!$H$3),"MM/DD/YY"))</f>
        <v/>
      </c>
      <c r="G25" s="104" t="str">
        <f>IF(ISBLANK('Eid List Entry'!C25),"",('Eid List Entry'!$H$5))</f>
        <v/>
      </c>
    </row>
    <row r="26" spans="1:7" x14ac:dyDescent="0.25">
      <c r="A26" s="104" t="str">
        <f>'Eid List Entry'!B26</f>
        <v xml:space="preserve"> </v>
      </c>
      <c r="B26" s="104" t="str">
        <f>IF(ISBLANK('Eid List Entry'!C26),"",('Eid List Entry'!C26))</f>
        <v/>
      </c>
      <c r="C26" s="104" t="str">
        <f>IF(ISBLANK('Eid List Entry'!D26),"",('Eid List Entry'!D26))</f>
        <v/>
      </c>
      <c r="D26" s="138" t="str">
        <f>IF(ISBLANK('Eid List Entry'!C26),"",('Eid List Entry'!$H$7))</f>
        <v/>
      </c>
      <c r="E26" s="129" t="str">
        <f>IF(ISBLANK('Eid List Entry'!C26),"",('Eid List Entry'!$H$8))</f>
        <v/>
      </c>
      <c r="F26" s="140" t="str">
        <f>IF(ISBLANK('Eid List Entry'!C26),"",TEXT(('Eid List Entry'!$H$3),"MM/DD/YY"))</f>
        <v/>
      </c>
      <c r="G26" s="104" t="str">
        <f>IF(ISBLANK('Eid List Entry'!C26),"",('Eid List Entry'!$H$5))</f>
        <v/>
      </c>
    </row>
    <row r="27" spans="1:7" x14ac:dyDescent="0.25">
      <c r="A27" s="104" t="str">
        <f>'Eid List Entry'!B27</f>
        <v xml:space="preserve"> </v>
      </c>
      <c r="B27" s="104" t="str">
        <f>IF(ISBLANK('Eid List Entry'!C27),"",('Eid List Entry'!C27))</f>
        <v/>
      </c>
      <c r="C27" s="104" t="str">
        <f>IF(ISBLANK('Eid List Entry'!D27),"",('Eid List Entry'!D27))</f>
        <v/>
      </c>
      <c r="D27" s="138" t="str">
        <f>IF(ISBLANK('Eid List Entry'!C27),"",('Eid List Entry'!$H$7))</f>
        <v/>
      </c>
      <c r="E27" s="129" t="str">
        <f>IF(ISBLANK('Eid List Entry'!C27),"",('Eid List Entry'!$H$8))</f>
        <v/>
      </c>
      <c r="F27" s="140" t="str">
        <f>IF(ISBLANK('Eid List Entry'!C27),"",TEXT(('Eid List Entry'!$H$3),"MM/DD/YY"))</f>
        <v/>
      </c>
      <c r="G27" s="104" t="str">
        <f>IF(ISBLANK('Eid List Entry'!C27),"",('Eid List Entry'!$H$5))</f>
        <v/>
      </c>
    </row>
    <row r="28" spans="1:7" x14ac:dyDescent="0.25">
      <c r="A28" s="104" t="str">
        <f>'Eid List Entry'!B28</f>
        <v xml:space="preserve"> </v>
      </c>
      <c r="B28" s="104" t="str">
        <f>IF(ISBLANK('Eid List Entry'!C28),"",('Eid List Entry'!C28))</f>
        <v/>
      </c>
      <c r="C28" s="104" t="str">
        <f>IF(ISBLANK('Eid List Entry'!D28),"",('Eid List Entry'!D28))</f>
        <v/>
      </c>
      <c r="D28" s="138" t="str">
        <f>IF(ISBLANK('Eid List Entry'!C28),"",('Eid List Entry'!$H$7))</f>
        <v/>
      </c>
      <c r="E28" s="129" t="str">
        <f>IF(ISBLANK('Eid List Entry'!C28),"",('Eid List Entry'!$H$8))</f>
        <v/>
      </c>
      <c r="F28" s="140" t="str">
        <f>IF(ISBLANK('Eid List Entry'!C28),"",TEXT(('Eid List Entry'!$H$3),"MM/DD/YY"))</f>
        <v/>
      </c>
      <c r="G28" s="104" t="str">
        <f>IF(ISBLANK('Eid List Entry'!C28),"",('Eid List Entry'!$H$5))</f>
        <v/>
      </c>
    </row>
    <row r="29" spans="1:7" x14ac:dyDescent="0.25">
      <c r="A29" s="104" t="str">
        <f>'Eid List Entry'!B29</f>
        <v xml:space="preserve"> </v>
      </c>
      <c r="B29" s="104" t="str">
        <f>IF(ISBLANK('Eid List Entry'!C29),"",('Eid List Entry'!C29))</f>
        <v/>
      </c>
      <c r="C29" s="104" t="str">
        <f>IF(ISBLANK('Eid List Entry'!D29),"",('Eid List Entry'!D29))</f>
        <v/>
      </c>
      <c r="D29" s="138" t="str">
        <f>IF(ISBLANK('Eid List Entry'!C29),"",('Eid List Entry'!$H$7))</f>
        <v/>
      </c>
      <c r="E29" s="129" t="str">
        <f>IF(ISBLANK('Eid List Entry'!C29),"",('Eid List Entry'!$H$8))</f>
        <v/>
      </c>
      <c r="F29" s="140" t="str">
        <f>IF(ISBLANK('Eid List Entry'!C29),"",TEXT(('Eid List Entry'!$H$3),"MM/DD/YY"))</f>
        <v/>
      </c>
      <c r="G29" s="104" t="str">
        <f>IF(ISBLANK('Eid List Entry'!C29),"",('Eid List Entry'!$H$5))</f>
        <v/>
      </c>
    </row>
    <row r="30" spans="1:7" x14ac:dyDescent="0.25">
      <c r="A30" s="104" t="str">
        <f>'Eid List Entry'!B30</f>
        <v xml:space="preserve"> </v>
      </c>
      <c r="B30" s="104" t="str">
        <f>IF(ISBLANK('Eid List Entry'!C30),"",('Eid List Entry'!C30))</f>
        <v/>
      </c>
      <c r="C30" s="104" t="str">
        <f>IF(ISBLANK('Eid List Entry'!D30),"",('Eid List Entry'!D30))</f>
        <v/>
      </c>
      <c r="D30" s="138" t="str">
        <f>IF(ISBLANK('Eid List Entry'!C30),"",('Eid List Entry'!$H$7))</f>
        <v/>
      </c>
      <c r="E30" s="129" t="str">
        <f>IF(ISBLANK('Eid List Entry'!C30),"",('Eid List Entry'!$H$8))</f>
        <v/>
      </c>
      <c r="F30" s="140" t="str">
        <f>IF(ISBLANK('Eid List Entry'!C30),"",TEXT(('Eid List Entry'!$H$3),"MM/DD/YY"))</f>
        <v/>
      </c>
      <c r="G30" s="104" t="str">
        <f>IF(ISBLANK('Eid List Entry'!C30),"",('Eid List Entry'!$H$5))</f>
        <v/>
      </c>
    </row>
    <row r="31" spans="1:7" x14ac:dyDescent="0.25">
      <c r="A31" s="104" t="str">
        <f>'Eid List Entry'!B31</f>
        <v xml:space="preserve"> </v>
      </c>
      <c r="B31" s="104" t="str">
        <f>IF(ISBLANK('Eid List Entry'!C31),"",('Eid List Entry'!C31))</f>
        <v/>
      </c>
      <c r="C31" s="104" t="str">
        <f>IF(ISBLANK('Eid List Entry'!D31),"",('Eid List Entry'!D31))</f>
        <v/>
      </c>
      <c r="D31" s="138" t="str">
        <f>IF(ISBLANK('Eid List Entry'!C31),"",('Eid List Entry'!$H$7))</f>
        <v/>
      </c>
      <c r="E31" s="129" t="str">
        <f>IF(ISBLANK('Eid List Entry'!C31),"",('Eid List Entry'!$H$8))</f>
        <v/>
      </c>
      <c r="F31" s="140" t="str">
        <f>IF(ISBLANK('Eid List Entry'!C31),"",TEXT(('Eid List Entry'!$H$3),"MM/DD/YY"))</f>
        <v/>
      </c>
      <c r="G31" s="104" t="str">
        <f>IF(ISBLANK('Eid List Entry'!C31),"",('Eid List Entry'!$H$5))</f>
        <v/>
      </c>
    </row>
    <row r="32" spans="1:7" x14ac:dyDescent="0.25">
      <c r="A32" s="104" t="str">
        <f>'Eid List Entry'!B32</f>
        <v xml:space="preserve"> </v>
      </c>
      <c r="B32" s="104" t="str">
        <f>IF(ISBLANK('Eid List Entry'!C32),"",('Eid List Entry'!C32))</f>
        <v/>
      </c>
      <c r="C32" s="104" t="str">
        <f>IF(ISBLANK('Eid List Entry'!D32),"",('Eid List Entry'!D32))</f>
        <v/>
      </c>
      <c r="D32" s="138" t="str">
        <f>IF(ISBLANK('Eid List Entry'!C32),"",('Eid List Entry'!$H$7))</f>
        <v/>
      </c>
      <c r="E32" s="129" t="str">
        <f>IF(ISBLANK('Eid List Entry'!C32),"",('Eid List Entry'!$H$8))</f>
        <v/>
      </c>
      <c r="F32" s="140" t="str">
        <f>IF(ISBLANK('Eid List Entry'!C32),"",TEXT(('Eid List Entry'!$H$3),"MM/DD/YY"))</f>
        <v/>
      </c>
      <c r="G32" s="104" t="str">
        <f>IF(ISBLANK('Eid List Entry'!C32),"",('Eid List Entry'!$H$5))</f>
        <v/>
      </c>
    </row>
    <row r="33" spans="1:7" x14ac:dyDescent="0.25">
      <c r="A33" s="104" t="str">
        <f>'Eid List Entry'!B33</f>
        <v xml:space="preserve"> </v>
      </c>
      <c r="B33" s="104" t="str">
        <f>IF(ISBLANK('Eid List Entry'!C33),"",('Eid List Entry'!C33))</f>
        <v/>
      </c>
      <c r="C33" s="104" t="str">
        <f>IF(ISBLANK('Eid List Entry'!D33),"",('Eid List Entry'!D33))</f>
        <v/>
      </c>
      <c r="D33" s="138" t="str">
        <f>IF(ISBLANK('Eid List Entry'!C33),"",('Eid List Entry'!$H$7))</f>
        <v/>
      </c>
      <c r="E33" s="129" t="str">
        <f>IF(ISBLANK('Eid List Entry'!C33),"",('Eid List Entry'!$H$8))</f>
        <v/>
      </c>
      <c r="F33" s="140" t="str">
        <f>IF(ISBLANK('Eid List Entry'!C33),"",TEXT(('Eid List Entry'!$H$3),"MM/DD/YY"))</f>
        <v/>
      </c>
      <c r="G33" s="104" t="str">
        <f>IF(ISBLANK('Eid List Entry'!C33),"",('Eid List Entry'!$H$5))</f>
        <v/>
      </c>
    </row>
    <row r="34" spans="1:7" x14ac:dyDescent="0.25">
      <c r="A34" s="104" t="str">
        <f>'Eid List Entry'!B34</f>
        <v xml:space="preserve"> </v>
      </c>
      <c r="B34" s="104" t="str">
        <f>IF(ISBLANK('Eid List Entry'!C34),"",('Eid List Entry'!C34))</f>
        <v/>
      </c>
      <c r="C34" s="104" t="str">
        <f>IF(ISBLANK('Eid List Entry'!D34),"",('Eid List Entry'!D34))</f>
        <v/>
      </c>
      <c r="D34" s="138" t="str">
        <f>IF(ISBLANK('Eid List Entry'!C34),"",('Eid List Entry'!$H$7))</f>
        <v/>
      </c>
      <c r="E34" s="129" t="str">
        <f>IF(ISBLANK('Eid List Entry'!C34),"",('Eid List Entry'!$H$8))</f>
        <v/>
      </c>
      <c r="F34" s="140" t="str">
        <f>IF(ISBLANK('Eid List Entry'!C34),"",TEXT(('Eid List Entry'!$H$3),"MM/DD/YY"))</f>
        <v/>
      </c>
      <c r="G34" s="104" t="str">
        <f>IF(ISBLANK('Eid List Entry'!C34),"",('Eid List Entry'!$H$5))</f>
        <v/>
      </c>
    </row>
    <row r="35" spans="1:7" x14ac:dyDescent="0.25">
      <c r="A35" s="104" t="str">
        <f>'Eid List Entry'!B35</f>
        <v xml:space="preserve"> </v>
      </c>
      <c r="B35" s="104" t="str">
        <f>IF(ISBLANK('Eid List Entry'!C35),"",('Eid List Entry'!C35))</f>
        <v/>
      </c>
      <c r="C35" s="104" t="str">
        <f>IF(ISBLANK('Eid List Entry'!D35),"",('Eid List Entry'!D35))</f>
        <v/>
      </c>
      <c r="D35" s="138" t="str">
        <f>IF(ISBLANK('Eid List Entry'!C35),"",('Eid List Entry'!$H$7))</f>
        <v/>
      </c>
      <c r="E35" s="129" t="str">
        <f>IF(ISBLANK('Eid List Entry'!C35),"",('Eid List Entry'!$H$8))</f>
        <v/>
      </c>
      <c r="F35" s="140" t="str">
        <f>IF(ISBLANK('Eid List Entry'!C35),"",TEXT(('Eid List Entry'!$H$3),"MM/DD/YY"))</f>
        <v/>
      </c>
      <c r="G35" s="104" t="str">
        <f>IF(ISBLANK('Eid List Entry'!C35),"",('Eid List Entry'!$H$5))</f>
        <v/>
      </c>
    </row>
    <row r="36" spans="1:7" x14ac:dyDescent="0.25">
      <c r="A36" s="104" t="str">
        <f>'Eid List Entry'!B36</f>
        <v xml:space="preserve"> </v>
      </c>
      <c r="B36" s="104" t="str">
        <f>IF(ISBLANK('Eid List Entry'!C36),"",('Eid List Entry'!C36))</f>
        <v/>
      </c>
      <c r="C36" s="104" t="str">
        <f>IF(ISBLANK('Eid List Entry'!D36),"",('Eid List Entry'!D36))</f>
        <v/>
      </c>
      <c r="D36" s="138" t="str">
        <f>IF(ISBLANK('Eid List Entry'!C36),"",('Eid List Entry'!$H$7))</f>
        <v/>
      </c>
      <c r="E36" s="129" t="str">
        <f>IF(ISBLANK('Eid List Entry'!C36),"",('Eid List Entry'!$H$8))</f>
        <v/>
      </c>
      <c r="F36" s="140" t="str">
        <f>IF(ISBLANK('Eid List Entry'!C36),"",TEXT(('Eid List Entry'!$H$3),"MM/DD/YY"))</f>
        <v/>
      </c>
      <c r="G36" s="104" t="str">
        <f>IF(ISBLANK('Eid List Entry'!C36),"",('Eid List Entry'!$H$5))</f>
        <v/>
      </c>
    </row>
    <row r="37" spans="1:7" x14ac:dyDescent="0.25">
      <c r="A37" s="104" t="str">
        <f>'Eid List Entry'!B37</f>
        <v xml:space="preserve"> </v>
      </c>
      <c r="B37" s="104" t="str">
        <f>IF(ISBLANK('Eid List Entry'!C37),"",('Eid List Entry'!C37))</f>
        <v/>
      </c>
      <c r="C37" s="104" t="str">
        <f>IF(ISBLANK('Eid List Entry'!D37),"",('Eid List Entry'!D37))</f>
        <v/>
      </c>
      <c r="D37" s="138" t="str">
        <f>IF(ISBLANK('Eid List Entry'!C37),"",('Eid List Entry'!$H$7))</f>
        <v/>
      </c>
      <c r="E37" s="129" t="str">
        <f>IF(ISBLANK('Eid List Entry'!C37),"",('Eid List Entry'!$H$8))</f>
        <v/>
      </c>
      <c r="F37" s="140" t="str">
        <f>IF(ISBLANK('Eid List Entry'!C37),"",TEXT(('Eid List Entry'!$H$3),"MM/DD/YY"))</f>
        <v/>
      </c>
      <c r="G37" s="104" t="str">
        <f>IF(ISBLANK('Eid List Entry'!C37),"",('Eid List Entry'!$H$5))</f>
        <v/>
      </c>
    </row>
    <row r="38" spans="1:7" x14ac:dyDescent="0.25">
      <c r="A38" s="104" t="str">
        <f>'Eid List Entry'!B38</f>
        <v xml:space="preserve"> </v>
      </c>
      <c r="B38" s="104" t="str">
        <f>IF(ISBLANK('Eid List Entry'!C38),"",('Eid List Entry'!C38))</f>
        <v/>
      </c>
      <c r="C38" s="104" t="str">
        <f>IF(ISBLANK('Eid List Entry'!D38),"",('Eid List Entry'!D38))</f>
        <v/>
      </c>
      <c r="D38" s="138" t="str">
        <f>IF(ISBLANK('Eid List Entry'!C38),"",('Eid List Entry'!$H$7))</f>
        <v/>
      </c>
      <c r="E38" s="129" t="str">
        <f>IF(ISBLANK('Eid List Entry'!C38),"",('Eid List Entry'!$H$8))</f>
        <v/>
      </c>
      <c r="F38" s="140" t="str">
        <f>IF(ISBLANK('Eid List Entry'!C38),"",TEXT(('Eid List Entry'!$H$3),"MM/DD/YY"))</f>
        <v/>
      </c>
      <c r="G38" s="104" t="str">
        <f>IF(ISBLANK('Eid List Entry'!C38),"",('Eid List Entry'!$H$5))</f>
        <v/>
      </c>
    </row>
    <row r="39" spans="1:7" x14ac:dyDescent="0.25">
      <c r="A39" s="104" t="str">
        <f>'Eid List Entry'!B39</f>
        <v xml:space="preserve"> </v>
      </c>
      <c r="B39" s="104" t="str">
        <f>IF(ISBLANK('Eid List Entry'!C39),"",('Eid List Entry'!C39))</f>
        <v/>
      </c>
      <c r="C39" s="104" t="str">
        <f>IF(ISBLANK('Eid List Entry'!D39),"",('Eid List Entry'!D39))</f>
        <v/>
      </c>
      <c r="D39" s="138" t="str">
        <f>IF(ISBLANK('Eid List Entry'!C39),"",('Eid List Entry'!$H$7))</f>
        <v/>
      </c>
      <c r="E39" s="129" t="str">
        <f>IF(ISBLANK('Eid List Entry'!C39),"",('Eid List Entry'!$H$8))</f>
        <v/>
      </c>
      <c r="F39" s="140" t="str">
        <f>IF(ISBLANK('Eid List Entry'!C39),"",TEXT(('Eid List Entry'!$H$3),"MM/DD/YY"))</f>
        <v/>
      </c>
      <c r="G39" s="104" t="str">
        <f>IF(ISBLANK('Eid List Entry'!C39),"",('Eid List Entry'!$H$5))</f>
        <v/>
      </c>
    </row>
    <row r="40" spans="1:7" x14ac:dyDescent="0.25">
      <c r="A40" s="104" t="str">
        <f>'Eid List Entry'!B40</f>
        <v xml:space="preserve"> </v>
      </c>
      <c r="B40" s="104" t="str">
        <f>IF(ISBLANK('Eid List Entry'!C40),"",('Eid List Entry'!C40))</f>
        <v/>
      </c>
      <c r="C40" s="104" t="str">
        <f>IF(ISBLANK('Eid List Entry'!D40),"",('Eid List Entry'!D40))</f>
        <v/>
      </c>
      <c r="D40" s="138" t="str">
        <f>IF(ISBLANK('Eid List Entry'!C40),"",('Eid List Entry'!$H$7))</f>
        <v/>
      </c>
      <c r="E40" s="129" t="str">
        <f>IF(ISBLANK('Eid List Entry'!C40),"",('Eid List Entry'!$H$8))</f>
        <v/>
      </c>
      <c r="F40" s="140" t="str">
        <f>IF(ISBLANK('Eid List Entry'!C40),"",TEXT(('Eid List Entry'!$H$3),"MM/DD/YY"))</f>
        <v/>
      </c>
      <c r="G40" s="104" t="str">
        <f>IF(ISBLANK('Eid List Entry'!C40),"",('Eid List Entry'!$H$5))</f>
        <v/>
      </c>
    </row>
    <row r="41" spans="1:7" x14ac:dyDescent="0.25">
      <c r="A41" s="104" t="str">
        <f>'Eid List Entry'!B41</f>
        <v xml:space="preserve"> </v>
      </c>
      <c r="B41" s="104" t="str">
        <f>IF(ISBLANK('Eid List Entry'!C41),"",('Eid List Entry'!C41))</f>
        <v/>
      </c>
      <c r="C41" s="104" t="str">
        <f>IF(ISBLANK('Eid List Entry'!D41),"",('Eid List Entry'!D41))</f>
        <v/>
      </c>
      <c r="D41" s="138" t="str">
        <f>IF(ISBLANK('Eid List Entry'!C41),"",('Eid List Entry'!$H$7))</f>
        <v/>
      </c>
      <c r="E41" s="129" t="str">
        <f>IF(ISBLANK('Eid List Entry'!C41),"",('Eid List Entry'!$H$8))</f>
        <v/>
      </c>
      <c r="F41" s="140" t="str">
        <f>IF(ISBLANK('Eid List Entry'!C41),"",TEXT(('Eid List Entry'!$H$3),"MM/DD/YY"))</f>
        <v/>
      </c>
      <c r="G41" s="104" t="str">
        <f>IF(ISBLANK('Eid List Entry'!C41),"",('Eid List Entry'!$H$5))</f>
        <v/>
      </c>
    </row>
    <row r="42" spans="1:7" x14ac:dyDescent="0.25">
      <c r="A42" s="104" t="str">
        <f>'Eid List Entry'!B42</f>
        <v xml:space="preserve"> </v>
      </c>
      <c r="B42" s="104" t="str">
        <f>IF(ISBLANK('Eid List Entry'!C42),"",('Eid List Entry'!C42))</f>
        <v/>
      </c>
      <c r="C42" s="104" t="str">
        <f>IF(ISBLANK('Eid List Entry'!D42),"",('Eid List Entry'!D42))</f>
        <v/>
      </c>
      <c r="D42" s="138" t="str">
        <f>IF(ISBLANK('Eid List Entry'!C42),"",('Eid List Entry'!$H$7))</f>
        <v/>
      </c>
      <c r="E42" s="129" t="str">
        <f>IF(ISBLANK('Eid List Entry'!C42),"",('Eid List Entry'!$H$8))</f>
        <v/>
      </c>
      <c r="F42" s="140" t="str">
        <f>IF(ISBLANK('Eid List Entry'!C42),"",TEXT(('Eid List Entry'!$H$3),"MM/DD/YY"))</f>
        <v/>
      </c>
      <c r="G42" s="104" t="str">
        <f>IF(ISBLANK('Eid List Entry'!C42),"",('Eid List Entry'!$H$5))</f>
        <v/>
      </c>
    </row>
    <row r="43" spans="1:7" x14ac:dyDescent="0.25">
      <c r="A43" s="104" t="str">
        <f>'Eid List Entry'!B43</f>
        <v xml:space="preserve"> </v>
      </c>
      <c r="B43" s="104" t="str">
        <f>IF(ISBLANK('Eid List Entry'!C43),"",('Eid List Entry'!C43))</f>
        <v/>
      </c>
      <c r="C43" s="104" t="str">
        <f>IF(ISBLANK('Eid List Entry'!D43),"",('Eid List Entry'!D43))</f>
        <v/>
      </c>
      <c r="D43" s="138" t="str">
        <f>IF(ISBLANK('Eid List Entry'!C43),"",('Eid List Entry'!$H$7))</f>
        <v/>
      </c>
      <c r="E43" s="129" t="str">
        <f>IF(ISBLANK('Eid List Entry'!C43),"",('Eid List Entry'!$H$8))</f>
        <v/>
      </c>
      <c r="F43" s="140" t="str">
        <f>IF(ISBLANK('Eid List Entry'!C43),"",TEXT(('Eid List Entry'!$H$3),"MM/DD/YY"))</f>
        <v/>
      </c>
      <c r="G43" s="104" t="str">
        <f>IF(ISBLANK('Eid List Entry'!C43),"",('Eid List Entry'!$H$5))</f>
        <v/>
      </c>
    </row>
    <row r="44" spans="1:7" x14ac:dyDescent="0.25">
      <c r="A44" s="104" t="str">
        <f>'Eid List Entry'!B44</f>
        <v xml:space="preserve"> </v>
      </c>
      <c r="B44" s="104" t="str">
        <f>IF(ISBLANK('Eid List Entry'!C44),"",('Eid List Entry'!C44))</f>
        <v/>
      </c>
      <c r="C44" s="104" t="str">
        <f>IF(ISBLANK('Eid List Entry'!D44),"",('Eid List Entry'!D44))</f>
        <v/>
      </c>
      <c r="D44" s="138" t="str">
        <f>IF(ISBLANK('Eid List Entry'!C44),"",('Eid List Entry'!$H$7))</f>
        <v/>
      </c>
      <c r="E44" s="129" t="str">
        <f>IF(ISBLANK('Eid List Entry'!C44),"",('Eid List Entry'!$H$8))</f>
        <v/>
      </c>
      <c r="F44" s="140" t="str">
        <f>IF(ISBLANK('Eid List Entry'!C44),"",TEXT(('Eid List Entry'!$H$3),"MM/DD/YY"))</f>
        <v/>
      </c>
      <c r="G44" s="104" t="str">
        <f>IF(ISBLANK('Eid List Entry'!C44),"",('Eid List Entry'!$H$5))</f>
        <v/>
      </c>
    </row>
    <row r="45" spans="1:7" x14ac:dyDescent="0.25">
      <c r="A45" s="104" t="str">
        <f>'Eid List Entry'!B45</f>
        <v xml:space="preserve"> </v>
      </c>
      <c r="B45" s="104" t="str">
        <f>IF(ISBLANK('Eid List Entry'!C45),"",('Eid List Entry'!C45))</f>
        <v/>
      </c>
      <c r="C45" s="104" t="str">
        <f>IF(ISBLANK('Eid List Entry'!D45),"",('Eid List Entry'!D45))</f>
        <v/>
      </c>
      <c r="D45" s="138" t="str">
        <f>IF(ISBLANK('Eid List Entry'!C45),"",('Eid List Entry'!$H$7))</f>
        <v/>
      </c>
      <c r="E45" s="129" t="str">
        <f>IF(ISBLANK('Eid List Entry'!C45),"",('Eid List Entry'!$H$8))</f>
        <v/>
      </c>
      <c r="F45" s="140" t="str">
        <f>IF(ISBLANK('Eid List Entry'!C45),"",TEXT(('Eid List Entry'!$H$3),"MM/DD/YY"))</f>
        <v/>
      </c>
      <c r="G45" s="104" t="str">
        <f>IF(ISBLANK('Eid List Entry'!C45),"",('Eid List Entry'!$H$5))</f>
        <v/>
      </c>
    </row>
    <row r="46" spans="1:7" x14ac:dyDescent="0.25">
      <c r="A46" s="104" t="str">
        <f>'Eid List Entry'!B46</f>
        <v xml:space="preserve"> </v>
      </c>
      <c r="B46" s="104" t="str">
        <f>IF(ISBLANK('Eid List Entry'!C46),"",('Eid List Entry'!C46))</f>
        <v/>
      </c>
      <c r="C46" s="104" t="str">
        <f>IF(ISBLANK('Eid List Entry'!D46),"",('Eid List Entry'!D46))</f>
        <v/>
      </c>
      <c r="D46" s="138" t="str">
        <f>IF(ISBLANK('Eid List Entry'!C46),"",('Eid List Entry'!$H$7))</f>
        <v/>
      </c>
      <c r="E46" s="129" t="str">
        <f>IF(ISBLANK('Eid List Entry'!C46),"",('Eid List Entry'!$H$8))</f>
        <v/>
      </c>
      <c r="F46" s="140" t="str">
        <f>IF(ISBLANK('Eid List Entry'!C46),"",TEXT(('Eid List Entry'!$H$3),"MM/DD/YY"))</f>
        <v/>
      </c>
      <c r="G46" s="104" t="str">
        <f>IF(ISBLANK('Eid List Entry'!C46),"",('Eid List Entry'!$H$5))</f>
        <v/>
      </c>
    </row>
    <row r="47" spans="1:7" x14ac:dyDescent="0.25">
      <c r="A47" s="104" t="str">
        <f>'Eid List Entry'!B47</f>
        <v xml:space="preserve"> </v>
      </c>
      <c r="B47" s="104" t="str">
        <f>IF(ISBLANK('Eid List Entry'!C47),"",('Eid List Entry'!C47))</f>
        <v/>
      </c>
      <c r="C47" s="104" t="str">
        <f>IF(ISBLANK('Eid List Entry'!D47),"",('Eid List Entry'!D47))</f>
        <v/>
      </c>
      <c r="D47" s="138" t="str">
        <f>IF(ISBLANK('Eid List Entry'!C47),"",('Eid List Entry'!$H$7))</f>
        <v/>
      </c>
      <c r="E47" s="129" t="str">
        <f>IF(ISBLANK('Eid List Entry'!C47),"",('Eid List Entry'!$H$8))</f>
        <v/>
      </c>
      <c r="F47" s="140" t="str">
        <f>IF(ISBLANK('Eid List Entry'!C47),"",TEXT(('Eid List Entry'!$H$3),"MM/DD/YY"))</f>
        <v/>
      </c>
      <c r="G47" s="104" t="str">
        <f>IF(ISBLANK('Eid List Entry'!C47),"",('Eid List Entry'!$H$5))</f>
        <v/>
      </c>
    </row>
    <row r="48" spans="1:7" x14ac:dyDescent="0.25">
      <c r="A48" s="104" t="str">
        <f>'Eid List Entry'!B48</f>
        <v xml:space="preserve"> </v>
      </c>
      <c r="B48" s="104" t="str">
        <f>IF(ISBLANK('Eid List Entry'!C48),"",('Eid List Entry'!C48))</f>
        <v/>
      </c>
      <c r="C48" s="104" t="str">
        <f>IF(ISBLANK('Eid List Entry'!D48),"",('Eid List Entry'!D48))</f>
        <v/>
      </c>
      <c r="D48" s="138" t="str">
        <f>IF(ISBLANK('Eid List Entry'!C48),"",('Eid List Entry'!$H$7))</f>
        <v/>
      </c>
      <c r="E48" s="129" t="str">
        <f>IF(ISBLANK('Eid List Entry'!C48),"",('Eid List Entry'!$H$8))</f>
        <v/>
      </c>
      <c r="F48" s="140" t="str">
        <f>IF(ISBLANK('Eid List Entry'!C48),"",TEXT(('Eid List Entry'!$H$3),"MM/DD/YY"))</f>
        <v/>
      </c>
      <c r="G48" s="104" t="str">
        <f>IF(ISBLANK('Eid List Entry'!C48),"",('Eid List Entry'!$H$5))</f>
        <v/>
      </c>
    </row>
    <row r="49" spans="1:7" x14ac:dyDescent="0.25">
      <c r="A49" s="104" t="str">
        <f>'Eid List Entry'!B49</f>
        <v xml:space="preserve"> </v>
      </c>
      <c r="B49" s="104" t="str">
        <f>IF(ISBLANK('Eid List Entry'!C49),"",('Eid List Entry'!C49))</f>
        <v/>
      </c>
      <c r="C49" s="104" t="str">
        <f>IF(ISBLANK('Eid List Entry'!D49),"",('Eid List Entry'!D49))</f>
        <v/>
      </c>
      <c r="D49" s="138" t="str">
        <f>IF(ISBLANK('Eid List Entry'!C49),"",('Eid List Entry'!$H$7))</f>
        <v/>
      </c>
      <c r="E49" s="129" t="str">
        <f>IF(ISBLANK('Eid List Entry'!C49),"",('Eid List Entry'!$H$8))</f>
        <v/>
      </c>
      <c r="F49" s="140" t="str">
        <f>IF(ISBLANK('Eid List Entry'!C49),"",TEXT(('Eid List Entry'!$H$3),"MM/DD/YY"))</f>
        <v/>
      </c>
      <c r="G49" s="104" t="str">
        <f>IF(ISBLANK('Eid List Entry'!C49),"",('Eid List Entry'!$H$5))</f>
        <v/>
      </c>
    </row>
    <row r="50" spans="1:7" x14ac:dyDescent="0.25">
      <c r="A50" s="104" t="str">
        <f>'Eid List Entry'!B50</f>
        <v xml:space="preserve"> </v>
      </c>
      <c r="B50" s="104" t="str">
        <f>IF(ISBLANK('Eid List Entry'!C50),"",('Eid List Entry'!C50))</f>
        <v/>
      </c>
      <c r="C50" s="104" t="str">
        <f>IF(ISBLANK('Eid List Entry'!D50),"",('Eid List Entry'!D50))</f>
        <v/>
      </c>
      <c r="D50" s="138" t="str">
        <f>IF(ISBLANK('Eid List Entry'!C50),"",('Eid List Entry'!$H$7))</f>
        <v/>
      </c>
      <c r="E50" s="129" t="str">
        <f>IF(ISBLANK('Eid List Entry'!C50),"",('Eid List Entry'!$H$8))</f>
        <v/>
      </c>
      <c r="F50" s="140" t="str">
        <f>IF(ISBLANK('Eid List Entry'!C50),"",TEXT(('Eid List Entry'!$H$3),"MM/DD/YY"))</f>
        <v/>
      </c>
      <c r="G50" s="104" t="str">
        <f>IF(ISBLANK('Eid List Entry'!C50),"",('Eid List Entry'!$H$5))</f>
        <v/>
      </c>
    </row>
    <row r="51" spans="1:7" x14ac:dyDescent="0.25">
      <c r="A51" s="104" t="str">
        <f>'Eid List Entry'!B51</f>
        <v xml:space="preserve"> </v>
      </c>
      <c r="B51" s="104" t="str">
        <f>IF(ISBLANK('Eid List Entry'!C51),"",('Eid List Entry'!C51))</f>
        <v/>
      </c>
      <c r="C51" s="104" t="str">
        <f>IF(ISBLANK('Eid List Entry'!D51),"",('Eid List Entry'!D51))</f>
        <v/>
      </c>
      <c r="D51" s="138" t="str">
        <f>IF(ISBLANK('Eid List Entry'!C51),"",('Eid List Entry'!$H$7))</f>
        <v/>
      </c>
      <c r="E51" s="129" t="str">
        <f>IF(ISBLANK('Eid List Entry'!C51),"",('Eid List Entry'!$H$8))</f>
        <v/>
      </c>
      <c r="F51" s="140" t="str">
        <f>IF(ISBLANK('Eid List Entry'!C51),"",TEXT(('Eid List Entry'!$H$3),"MM/DD/YY"))</f>
        <v/>
      </c>
      <c r="G51" s="104" t="str">
        <f>IF(ISBLANK('Eid List Entry'!C51),"",('Eid List Entry'!$H$5))</f>
        <v/>
      </c>
    </row>
    <row r="52" spans="1:7" x14ac:dyDescent="0.25">
      <c r="A52" s="104" t="str">
        <f>'Eid List Entry'!B52</f>
        <v xml:space="preserve"> </v>
      </c>
      <c r="B52" s="104" t="str">
        <f>IF(ISBLANK('Eid List Entry'!C52),"",('Eid List Entry'!C52))</f>
        <v/>
      </c>
      <c r="C52" s="104" t="str">
        <f>IF(ISBLANK('Eid List Entry'!D52),"",('Eid List Entry'!D52))</f>
        <v/>
      </c>
      <c r="D52" s="138" t="str">
        <f>IF(ISBLANK('Eid List Entry'!C52),"",('Eid List Entry'!$H$7))</f>
        <v/>
      </c>
      <c r="E52" s="129" t="str">
        <f>IF(ISBLANK('Eid List Entry'!C52),"",('Eid List Entry'!$H$8))</f>
        <v/>
      </c>
      <c r="F52" s="140" t="str">
        <f>IF(ISBLANK('Eid List Entry'!C52),"",TEXT(('Eid List Entry'!$H$3),"MM/DD/YY"))</f>
        <v/>
      </c>
      <c r="G52" s="104" t="str">
        <f>IF(ISBLANK('Eid List Entry'!C52),"",('Eid List Entry'!$H$5))</f>
        <v/>
      </c>
    </row>
    <row r="53" spans="1:7" x14ac:dyDescent="0.25">
      <c r="A53" s="104" t="str">
        <f>'Eid List Entry'!B53</f>
        <v xml:space="preserve"> </v>
      </c>
      <c r="B53" s="104" t="str">
        <f>IF(ISBLANK('Eid List Entry'!C53),"",('Eid List Entry'!C53))</f>
        <v/>
      </c>
      <c r="C53" s="104" t="str">
        <f>IF(ISBLANK('Eid List Entry'!D53),"",('Eid List Entry'!D53))</f>
        <v/>
      </c>
      <c r="D53" s="138" t="str">
        <f>IF(ISBLANK('Eid List Entry'!C53),"",('Eid List Entry'!$H$7))</f>
        <v/>
      </c>
      <c r="E53" s="129" t="str">
        <f>IF(ISBLANK('Eid List Entry'!C53),"",('Eid List Entry'!$H$8))</f>
        <v/>
      </c>
      <c r="F53" s="140" t="str">
        <f>IF(ISBLANK('Eid List Entry'!C53),"",TEXT(('Eid List Entry'!$H$3),"MM/DD/YY"))</f>
        <v/>
      </c>
      <c r="G53" s="104" t="str">
        <f>IF(ISBLANK('Eid List Entry'!C53),"",('Eid List Entry'!$H$5))</f>
        <v/>
      </c>
    </row>
    <row r="54" spans="1:7" x14ac:dyDescent="0.25">
      <c r="A54" s="104" t="str">
        <f>'Eid List Entry'!B54</f>
        <v xml:space="preserve"> </v>
      </c>
      <c r="B54" s="104" t="str">
        <f>IF(ISBLANK('Eid List Entry'!C54),"",('Eid List Entry'!C54))</f>
        <v/>
      </c>
      <c r="C54" s="104" t="str">
        <f>IF(ISBLANK('Eid List Entry'!D54),"",('Eid List Entry'!D54))</f>
        <v/>
      </c>
      <c r="D54" s="138" t="str">
        <f>IF(ISBLANK('Eid List Entry'!C54),"",('Eid List Entry'!$H$7))</f>
        <v/>
      </c>
      <c r="E54" s="129" t="str">
        <f>IF(ISBLANK('Eid List Entry'!C54),"",('Eid List Entry'!$H$8))</f>
        <v/>
      </c>
      <c r="F54" s="140" t="str">
        <f>IF(ISBLANK('Eid List Entry'!C54),"",TEXT(('Eid List Entry'!$H$3),"MM/DD/YY"))</f>
        <v/>
      </c>
      <c r="G54" s="104" t="str">
        <f>IF(ISBLANK('Eid List Entry'!C54),"",('Eid List Entry'!$H$5))</f>
        <v/>
      </c>
    </row>
    <row r="55" spans="1:7" x14ac:dyDescent="0.25">
      <c r="A55" s="104" t="str">
        <f>'Eid List Entry'!B55</f>
        <v xml:space="preserve"> </v>
      </c>
      <c r="B55" s="104" t="str">
        <f>IF(ISBLANK('Eid List Entry'!C55),"",('Eid List Entry'!C55))</f>
        <v/>
      </c>
      <c r="C55" s="104" t="str">
        <f>IF(ISBLANK('Eid List Entry'!D55),"",('Eid List Entry'!D55))</f>
        <v/>
      </c>
      <c r="D55" s="138" t="str">
        <f>IF(ISBLANK('Eid List Entry'!C55),"",('Eid List Entry'!$H$7))</f>
        <v/>
      </c>
      <c r="E55" s="129" t="str">
        <f>IF(ISBLANK('Eid List Entry'!C55),"",('Eid List Entry'!$H$8))</f>
        <v/>
      </c>
      <c r="F55" s="140" t="str">
        <f>IF(ISBLANK('Eid List Entry'!C55),"",TEXT(('Eid List Entry'!$H$3),"MM/DD/YY"))</f>
        <v/>
      </c>
      <c r="G55" s="104" t="str">
        <f>IF(ISBLANK('Eid List Entry'!C55),"",('Eid List Entry'!$H$5))</f>
        <v/>
      </c>
    </row>
    <row r="56" spans="1:7" x14ac:dyDescent="0.25">
      <c r="A56" s="104" t="str">
        <f>'Eid List Entry'!B56</f>
        <v xml:space="preserve"> </v>
      </c>
      <c r="B56" s="104" t="str">
        <f>IF(ISBLANK('Eid List Entry'!C56),"",('Eid List Entry'!C56))</f>
        <v/>
      </c>
      <c r="C56" s="104" t="str">
        <f>IF(ISBLANK('Eid List Entry'!D56),"",('Eid List Entry'!D56))</f>
        <v/>
      </c>
      <c r="D56" s="138" t="str">
        <f>IF(ISBLANK('Eid List Entry'!C56),"",('Eid List Entry'!$H$7))</f>
        <v/>
      </c>
      <c r="E56" s="129" t="str">
        <f>IF(ISBLANK('Eid List Entry'!C56),"",('Eid List Entry'!$H$8))</f>
        <v/>
      </c>
      <c r="F56" s="140" t="str">
        <f>IF(ISBLANK('Eid List Entry'!C56),"",TEXT(('Eid List Entry'!$H$3),"MM/DD/YY"))</f>
        <v/>
      </c>
      <c r="G56" s="104" t="str">
        <f>IF(ISBLANK('Eid List Entry'!C56),"",('Eid List Entry'!$H$5))</f>
        <v/>
      </c>
    </row>
    <row r="57" spans="1:7" x14ac:dyDescent="0.25">
      <c r="A57" s="104" t="str">
        <f>'Eid List Entry'!B57</f>
        <v xml:space="preserve"> </v>
      </c>
      <c r="B57" s="104" t="str">
        <f>IF(ISBLANK('Eid List Entry'!C57),"",('Eid List Entry'!C57))</f>
        <v/>
      </c>
      <c r="C57" s="104" t="str">
        <f>IF(ISBLANK('Eid List Entry'!D57),"",('Eid List Entry'!D57))</f>
        <v/>
      </c>
      <c r="D57" s="138" t="str">
        <f>IF(ISBLANK('Eid List Entry'!C57),"",('Eid List Entry'!$H$7))</f>
        <v/>
      </c>
      <c r="E57" s="129" t="str">
        <f>IF(ISBLANK('Eid List Entry'!C57),"",('Eid List Entry'!$H$8))</f>
        <v/>
      </c>
      <c r="F57" s="140" t="str">
        <f>IF(ISBLANK('Eid List Entry'!C57),"",TEXT(('Eid List Entry'!$H$3),"MM/DD/YY"))</f>
        <v/>
      </c>
      <c r="G57" s="104" t="str">
        <f>IF(ISBLANK('Eid List Entry'!C57),"",('Eid List Entry'!$H$5))</f>
        <v/>
      </c>
    </row>
    <row r="58" spans="1:7" x14ac:dyDescent="0.25">
      <c r="A58" s="104" t="str">
        <f>'Eid List Entry'!B58</f>
        <v xml:space="preserve"> </v>
      </c>
      <c r="B58" s="104" t="str">
        <f>IF(ISBLANK('Eid List Entry'!C58),"",('Eid List Entry'!C58))</f>
        <v/>
      </c>
      <c r="C58" s="104" t="str">
        <f>IF(ISBLANK('Eid List Entry'!D58),"",('Eid List Entry'!D58))</f>
        <v/>
      </c>
      <c r="D58" s="138" t="str">
        <f>IF(ISBLANK('Eid List Entry'!C58),"",('Eid List Entry'!$H$7))</f>
        <v/>
      </c>
      <c r="E58" s="129" t="str">
        <f>IF(ISBLANK('Eid List Entry'!C58),"",('Eid List Entry'!$H$8))</f>
        <v/>
      </c>
      <c r="F58" s="140" t="str">
        <f>IF(ISBLANK('Eid List Entry'!C58),"",TEXT(('Eid List Entry'!$H$3),"MM/DD/YY"))</f>
        <v/>
      </c>
      <c r="G58" s="104" t="str">
        <f>IF(ISBLANK('Eid List Entry'!C58),"",('Eid List Entry'!$H$5))</f>
        <v/>
      </c>
    </row>
    <row r="59" spans="1:7" x14ac:dyDescent="0.25">
      <c r="A59" s="104" t="str">
        <f>'Eid List Entry'!B59</f>
        <v xml:space="preserve"> </v>
      </c>
      <c r="B59" s="104" t="str">
        <f>IF(ISBLANK('Eid List Entry'!C59),"",('Eid List Entry'!C59))</f>
        <v/>
      </c>
      <c r="C59" s="104" t="str">
        <f>IF(ISBLANK('Eid List Entry'!D59),"",('Eid List Entry'!D59))</f>
        <v/>
      </c>
      <c r="D59" s="138" t="str">
        <f>IF(ISBLANK('Eid List Entry'!C59),"",('Eid List Entry'!$H$7))</f>
        <v/>
      </c>
      <c r="E59" s="129" t="str">
        <f>IF(ISBLANK('Eid List Entry'!C59),"",('Eid List Entry'!$H$8))</f>
        <v/>
      </c>
      <c r="F59" s="140" t="str">
        <f>IF(ISBLANK('Eid List Entry'!C59),"",TEXT(('Eid List Entry'!$H$3),"MM/DD/YY"))</f>
        <v/>
      </c>
      <c r="G59" s="104" t="str">
        <f>IF(ISBLANK('Eid List Entry'!C59),"",('Eid List Entry'!$H$5))</f>
        <v/>
      </c>
    </row>
    <row r="60" spans="1:7" x14ac:dyDescent="0.25">
      <c r="A60" s="104" t="str">
        <f>'Eid List Entry'!B60</f>
        <v xml:space="preserve"> </v>
      </c>
      <c r="B60" s="104" t="str">
        <f>IF(ISBLANK('Eid List Entry'!C60),"",('Eid List Entry'!C60))</f>
        <v/>
      </c>
      <c r="C60" s="104" t="str">
        <f>IF(ISBLANK('Eid List Entry'!D60),"",('Eid List Entry'!D60))</f>
        <v/>
      </c>
      <c r="D60" s="138" t="str">
        <f>IF(ISBLANK('Eid List Entry'!C60),"",('Eid List Entry'!$H$7))</f>
        <v/>
      </c>
      <c r="E60" s="129" t="str">
        <f>IF(ISBLANK('Eid List Entry'!C60),"",('Eid List Entry'!$H$8))</f>
        <v/>
      </c>
      <c r="F60" s="140" t="str">
        <f>IF(ISBLANK('Eid List Entry'!C60),"",TEXT(('Eid List Entry'!$H$3),"MM/DD/YY"))</f>
        <v/>
      </c>
      <c r="G60" s="104" t="str">
        <f>IF(ISBLANK('Eid List Entry'!C60),"",('Eid List Entry'!$H$5))</f>
        <v/>
      </c>
    </row>
    <row r="61" spans="1:7" x14ac:dyDescent="0.25">
      <c r="A61" s="104" t="str">
        <f>'Eid List Entry'!B61</f>
        <v xml:space="preserve"> </v>
      </c>
      <c r="B61" s="104" t="str">
        <f>IF(ISBLANK('Eid List Entry'!C61),"",('Eid List Entry'!C61))</f>
        <v/>
      </c>
      <c r="C61" s="104" t="str">
        <f>IF(ISBLANK('Eid List Entry'!D61),"",('Eid List Entry'!D61))</f>
        <v/>
      </c>
      <c r="D61" s="138" t="str">
        <f>IF(ISBLANK('Eid List Entry'!C61),"",('Eid List Entry'!$H$7))</f>
        <v/>
      </c>
      <c r="E61" s="129" t="str">
        <f>IF(ISBLANK('Eid List Entry'!C61),"",('Eid List Entry'!$H$8))</f>
        <v/>
      </c>
      <c r="F61" s="140" t="str">
        <f>IF(ISBLANK('Eid List Entry'!C61),"",TEXT(('Eid List Entry'!$H$3),"MM/DD/YY"))</f>
        <v/>
      </c>
      <c r="G61" s="104" t="str">
        <f>IF(ISBLANK('Eid List Entry'!C61),"",('Eid List Entry'!$H$5))</f>
        <v/>
      </c>
    </row>
    <row r="62" spans="1:7" x14ac:dyDescent="0.25">
      <c r="A62" s="104" t="str">
        <f>'Eid List Entry'!B62</f>
        <v xml:space="preserve"> </v>
      </c>
      <c r="B62" s="104" t="str">
        <f>IF(ISBLANK('Eid List Entry'!C62),"",('Eid List Entry'!C62))</f>
        <v/>
      </c>
      <c r="C62" s="104" t="str">
        <f>IF(ISBLANK('Eid List Entry'!D62),"",('Eid List Entry'!D62))</f>
        <v/>
      </c>
      <c r="D62" s="138" t="str">
        <f>IF(ISBLANK('Eid List Entry'!C62),"",('Eid List Entry'!$H$7))</f>
        <v/>
      </c>
      <c r="E62" s="129" t="str">
        <f>IF(ISBLANK('Eid List Entry'!C62),"",('Eid List Entry'!$H$8))</f>
        <v/>
      </c>
      <c r="F62" s="140" t="str">
        <f>IF(ISBLANK('Eid List Entry'!C62),"",TEXT(('Eid List Entry'!$H$3),"MM/DD/YY"))</f>
        <v/>
      </c>
      <c r="G62" s="104" t="str">
        <f>IF(ISBLANK('Eid List Entry'!C62),"",('Eid List Entry'!$H$5))</f>
        <v/>
      </c>
    </row>
    <row r="63" spans="1:7" x14ac:dyDescent="0.25">
      <c r="A63" s="104" t="str">
        <f>'Eid List Entry'!B63</f>
        <v xml:space="preserve"> </v>
      </c>
      <c r="B63" s="104" t="str">
        <f>IF(ISBLANK('Eid List Entry'!C63),"",('Eid List Entry'!C63))</f>
        <v/>
      </c>
      <c r="C63" s="104" t="str">
        <f>IF(ISBLANK('Eid List Entry'!D63),"",('Eid List Entry'!D63))</f>
        <v/>
      </c>
      <c r="D63" s="138" t="str">
        <f>IF(ISBLANK('Eid List Entry'!C63),"",('Eid List Entry'!$H$7))</f>
        <v/>
      </c>
      <c r="E63" s="129" t="str">
        <f>IF(ISBLANK('Eid List Entry'!C63),"",('Eid List Entry'!$H$8))</f>
        <v/>
      </c>
      <c r="F63" s="140" t="str">
        <f>IF(ISBLANK('Eid List Entry'!C63),"",TEXT(('Eid List Entry'!$H$3),"MM/DD/YY"))</f>
        <v/>
      </c>
      <c r="G63" s="104" t="str">
        <f>IF(ISBLANK('Eid List Entry'!C63),"",('Eid List Entry'!$H$5))</f>
        <v/>
      </c>
    </row>
    <row r="64" spans="1:7" x14ac:dyDescent="0.25">
      <c r="A64" s="104" t="str">
        <f>'Eid List Entry'!B64</f>
        <v xml:space="preserve"> </v>
      </c>
      <c r="B64" s="104" t="str">
        <f>IF(ISBLANK('Eid List Entry'!C64),"",('Eid List Entry'!C64))</f>
        <v/>
      </c>
      <c r="C64" s="104" t="str">
        <f>IF(ISBLANK('Eid List Entry'!D64),"",('Eid List Entry'!D64))</f>
        <v/>
      </c>
      <c r="D64" s="138" t="str">
        <f>IF(ISBLANK('Eid List Entry'!C64),"",('Eid List Entry'!$H$7))</f>
        <v/>
      </c>
      <c r="E64" s="129" t="str">
        <f>IF(ISBLANK('Eid List Entry'!C64),"",('Eid List Entry'!$H$8))</f>
        <v/>
      </c>
      <c r="F64" s="140" t="str">
        <f>IF(ISBLANK('Eid List Entry'!C64),"",TEXT(('Eid List Entry'!$H$3),"MM/DD/YY"))</f>
        <v/>
      </c>
      <c r="G64" s="104" t="str">
        <f>IF(ISBLANK('Eid List Entry'!C64),"",('Eid List Entry'!$H$5))</f>
        <v/>
      </c>
    </row>
    <row r="65" spans="1:7" x14ac:dyDescent="0.25">
      <c r="A65" s="104" t="str">
        <f>'Eid List Entry'!B65</f>
        <v xml:space="preserve"> </v>
      </c>
      <c r="B65" s="104" t="str">
        <f>IF(ISBLANK('Eid List Entry'!C65),"",('Eid List Entry'!C65))</f>
        <v/>
      </c>
      <c r="C65" s="104" t="str">
        <f>IF(ISBLANK('Eid List Entry'!D65),"",('Eid List Entry'!D65))</f>
        <v/>
      </c>
      <c r="D65" s="138" t="str">
        <f>IF(ISBLANK('Eid List Entry'!C65),"",('Eid List Entry'!$H$7))</f>
        <v/>
      </c>
      <c r="E65" s="129" t="str">
        <f>IF(ISBLANK('Eid List Entry'!C65),"",('Eid List Entry'!$H$8))</f>
        <v/>
      </c>
      <c r="F65" s="140" t="str">
        <f>IF(ISBLANK('Eid List Entry'!C65),"",TEXT(('Eid List Entry'!$H$3),"MM/DD/YY"))</f>
        <v/>
      </c>
      <c r="G65" s="104" t="str">
        <f>IF(ISBLANK('Eid List Entry'!C65),"",('Eid List Entry'!$H$5))</f>
        <v/>
      </c>
    </row>
    <row r="66" spans="1:7" x14ac:dyDescent="0.25">
      <c r="A66" s="104" t="str">
        <f>'Eid List Entry'!B66</f>
        <v xml:space="preserve"> </v>
      </c>
      <c r="B66" s="104" t="str">
        <f>IF(ISBLANK('Eid List Entry'!C66),"",('Eid List Entry'!C66))</f>
        <v/>
      </c>
      <c r="C66" s="104" t="str">
        <f>IF(ISBLANK('Eid List Entry'!D66),"",('Eid List Entry'!D66))</f>
        <v/>
      </c>
      <c r="D66" s="138" t="str">
        <f>IF(ISBLANK('Eid List Entry'!C66),"",('Eid List Entry'!$H$7))</f>
        <v/>
      </c>
      <c r="E66" s="129" t="str">
        <f>IF(ISBLANK('Eid List Entry'!C66),"",('Eid List Entry'!$H$8))</f>
        <v/>
      </c>
      <c r="F66" s="140" t="str">
        <f>IF(ISBLANK('Eid List Entry'!C66),"",TEXT(('Eid List Entry'!$H$3),"MM/DD/YY"))</f>
        <v/>
      </c>
      <c r="G66" s="104" t="str">
        <f>IF(ISBLANK('Eid List Entry'!C66),"",('Eid List Entry'!$H$5))</f>
        <v/>
      </c>
    </row>
    <row r="67" spans="1:7" x14ac:dyDescent="0.25">
      <c r="A67" s="104" t="str">
        <f>'Eid List Entry'!B67</f>
        <v xml:space="preserve"> </v>
      </c>
      <c r="B67" s="104" t="str">
        <f>IF(ISBLANK('Eid List Entry'!C67),"",('Eid List Entry'!C67))</f>
        <v/>
      </c>
      <c r="C67" s="104" t="str">
        <f>IF(ISBLANK('Eid List Entry'!D67),"",('Eid List Entry'!D67))</f>
        <v/>
      </c>
      <c r="D67" s="138" t="str">
        <f>IF(ISBLANK('Eid List Entry'!C67),"",('Eid List Entry'!$H$7))</f>
        <v/>
      </c>
      <c r="E67" s="129" t="str">
        <f>IF(ISBLANK('Eid List Entry'!C67),"",('Eid List Entry'!$H$8))</f>
        <v/>
      </c>
      <c r="F67" s="140" t="str">
        <f>IF(ISBLANK('Eid List Entry'!C67),"",TEXT(('Eid List Entry'!$H$3),"MM/DD/YY"))</f>
        <v/>
      </c>
      <c r="G67" s="104" t="str">
        <f>IF(ISBLANK('Eid List Entry'!C67),"",('Eid List Entry'!$H$5))</f>
        <v/>
      </c>
    </row>
    <row r="68" spans="1:7" x14ac:dyDescent="0.25">
      <c r="A68" s="104" t="str">
        <f>'Eid List Entry'!B68</f>
        <v xml:space="preserve"> </v>
      </c>
      <c r="B68" s="104" t="str">
        <f>IF(ISBLANK('Eid List Entry'!C68),"",('Eid List Entry'!C68))</f>
        <v/>
      </c>
      <c r="C68" s="104" t="str">
        <f>IF(ISBLANK('Eid List Entry'!D68),"",('Eid List Entry'!D68))</f>
        <v/>
      </c>
      <c r="D68" s="138" t="str">
        <f>IF(ISBLANK('Eid List Entry'!C68),"",('Eid List Entry'!$H$7))</f>
        <v/>
      </c>
      <c r="E68" s="129" t="str">
        <f>IF(ISBLANK('Eid List Entry'!C68),"",('Eid List Entry'!$H$8))</f>
        <v/>
      </c>
      <c r="F68" s="140" t="str">
        <f>IF(ISBLANK('Eid List Entry'!C68),"",TEXT(('Eid List Entry'!$H$3),"MM/DD/YY"))</f>
        <v/>
      </c>
      <c r="G68" s="104" t="str">
        <f>IF(ISBLANK('Eid List Entry'!C68),"",('Eid List Entry'!$H$5))</f>
        <v/>
      </c>
    </row>
    <row r="69" spans="1:7" x14ac:dyDescent="0.25">
      <c r="A69" s="104" t="str">
        <f>'Eid List Entry'!B69</f>
        <v xml:space="preserve"> </v>
      </c>
      <c r="B69" s="104" t="str">
        <f>IF(ISBLANK('Eid List Entry'!C69),"",('Eid List Entry'!C69))</f>
        <v/>
      </c>
      <c r="C69" s="104" t="str">
        <f>IF(ISBLANK('Eid List Entry'!D69),"",('Eid List Entry'!D69))</f>
        <v/>
      </c>
      <c r="D69" s="138" t="str">
        <f>IF(ISBLANK('Eid List Entry'!C69),"",('Eid List Entry'!$H$7))</f>
        <v/>
      </c>
      <c r="E69" s="129" t="str">
        <f>IF(ISBLANK('Eid List Entry'!C69),"",('Eid List Entry'!$H$8))</f>
        <v/>
      </c>
      <c r="F69" s="140" t="str">
        <f>IF(ISBLANK('Eid List Entry'!C69),"",TEXT(('Eid List Entry'!$H$3),"MM/DD/YY"))</f>
        <v/>
      </c>
      <c r="G69" s="104" t="str">
        <f>IF(ISBLANK('Eid List Entry'!C69),"",('Eid List Entry'!$H$5))</f>
        <v/>
      </c>
    </row>
    <row r="70" spans="1:7" x14ac:dyDescent="0.25">
      <c r="A70" s="104" t="str">
        <f>'Eid List Entry'!B70</f>
        <v xml:space="preserve"> </v>
      </c>
      <c r="B70" s="104" t="str">
        <f>IF(ISBLANK('Eid List Entry'!C70),"",('Eid List Entry'!C70))</f>
        <v/>
      </c>
      <c r="C70" s="104" t="str">
        <f>IF(ISBLANK('Eid List Entry'!D70),"",('Eid List Entry'!D70))</f>
        <v/>
      </c>
      <c r="D70" s="138" t="str">
        <f>IF(ISBLANK('Eid List Entry'!C70),"",('Eid List Entry'!$H$7))</f>
        <v/>
      </c>
      <c r="E70" s="129" t="str">
        <f>IF(ISBLANK('Eid List Entry'!C70),"",('Eid List Entry'!$H$8))</f>
        <v/>
      </c>
      <c r="F70" s="140" t="str">
        <f>IF(ISBLANK('Eid List Entry'!C70),"",TEXT(('Eid List Entry'!$H$3),"MM/DD/YY"))</f>
        <v/>
      </c>
      <c r="G70" s="104" t="str">
        <f>IF(ISBLANK('Eid List Entry'!C70),"",('Eid List Entry'!$H$5))</f>
        <v/>
      </c>
    </row>
    <row r="71" spans="1:7" x14ac:dyDescent="0.25">
      <c r="A71" s="104" t="str">
        <f>'Eid List Entry'!B71</f>
        <v xml:space="preserve"> </v>
      </c>
      <c r="B71" s="104" t="str">
        <f>IF(ISBLANK('Eid List Entry'!C71),"",('Eid List Entry'!C71))</f>
        <v/>
      </c>
      <c r="C71" s="104" t="str">
        <f>IF(ISBLANK('Eid List Entry'!D71),"",('Eid List Entry'!D71))</f>
        <v/>
      </c>
      <c r="D71" s="138" t="str">
        <f>IF(ISBLANK('Eid List Entry'!C71),"",('Eid List Entry'!$H$7))</f>
        <v/>
      </c>
      <c r="E71" s="129" t="str">
        <f>IF(ISBLANK('Eid List Entry'!C71),"",('Eid List Entry'!$H$8))</f>
        <v/>
      </c>
      <c r="F71" s="140" t="str">
        <f>IF(ISBLANK('Eid List Entry'!C71),"",TEXT(('Eid List Entry'!$H$3),"MM/DD/YY"))</f>
        <v/>
      </c>
      <c r="G71" s="104" t="str">
        <f>IF(ISBLANK('Eid List Entry'!C71),"",('Eid List Entry'!$H$5))</f>
        <v/>
      </c>
    </row>
    <row r="72" spans="1:7" x14ac:dyDescent="0.25">
      <c r="A72" s="104" t="str">
        <f>'Eid List Entry'!B72</f>
        <v xml:space="preserve"> </v>
      </c>
      <c r="B72" s="104" t="str">
        <f>IF(ISBLANK('Eid List Entry'!C72),"",('Eid List Entry'!C72))</f>
        <v/>
      </c>
      <c r="C72" s="104" t="str">
        <f>IF(ISBLANK('Eid List Entry'!D72),"",('Eid List Entry'!D72))</f>
        <v/>
      </c>
      <c r="D72" s="138" t="str">
        <f>IF(ISBLANK('Eid List Entry'!C72),"",('Eid List Entry'!$H$7))</f>
        <v/>
      </c>
      <c r="E72" s="129" t="str">
        <f>IF(ISBLANK('Eid List Entry'!C72),"",('Eid List Entry'!$H$8))</f>
        <v/>
      </c>
      <c r="F72" s="140" t="str">
        <f>IF(ISBLANK('Eid List Entry'!C72),"",TEXT(('Eid List Entry'!$H$3),"MM/DD/YY"))</f>
        <v/>
      </c>
      <c r="G72" s="104" t="str">
        <f>IF(ISBLANK('Eid List Entry'!C72),"",('Eid List Entry'!$H$5))</f>
        <v/>
      </c>
    </row>
    <row r="73" spans="1:7" x14ac:dyDescent="0.25">
      <c r="A73" s="104" t="str">
        <f>'Eid List Entry'!B73</f>
        <v xml:space="preserve"> </v>
      </c>
      <c r="B73" s="104" t="str">
        <f>IF(ISBLANK('Eid List Entry'!C73),"",('Eid List Entry'!C73))</f>
        <v/>
      </c>
      <c r="C73" s="104" t="str">
        <f>IF(ISBLANK('Eid List Entry'!D73),"",('Eid List Entry'!D73))</f>
        <v/>
      </c>
      <c r="D73" s="138" t="str">
        <f>IF(ISBLANK('Eid List Entry'!C73),"",('Eid List Entry'!$H$7))</f>
        <v/>
      </c>
      <c r="E73" s="129" t="str">
        <f>IF(ISBLANK('Eid List Entry'!C73),"",('Eid List Entry'!$H$8))</f>
        <v/>
      </c>
      <c r="F73" s="140" t="str">
        <f>IF(ISBLANK('Eid List Entry'!C73),"",TEXT(('Eid List Entry'!$H$3),"MM/DD/YY"))</f>
        <v/>
      </c>
      <c r="G73" s="104" t="str">
        <f>IF(ISBLANK('Eid List Entry'!C73),"",('Eid List Entry'!$H$5))</f>
        <v/>
      </c>
    </row>
    <row r="74" spans="1:7" x14ac:dyDescent="0.25">
      <c r="A74" s="104" t="str">
        <f>'Eid List Entry'!B74</f>
        <v xml:space="preserve"> </v>
      </c>
      <c r="B74" s="104" t="str">
        <f>IF(ISBLANK('Eid List Entry'!C74),"",('Eid List Entry'!C74))</f>
        <v/>
      </c>
      <c r="C74" s="104" t="str">
        <f>IF(ISBLANK('Eid List Entry'!D74),"",('Eid List Entry'!D74))</f>
        <v/>
      </c>
      <c r="D74" s="138" t="str">
        <f>IF(ISBLANK('Eid List Entry'!C74),"",('Eid List Entry'!$H$7))</f>
        <v/>
      </c>
      <c r="E74" s="129" t="str">
        <f>IF(ISBLANK('Eid List Entry'!C74),"",('Eid List Entry'!$H$8))</f>
        <v/>
      </c>
      <c r="F74" s="140" t="str">
        <f>IF(ISBLANK('Eid List Entry'!C74),"",TEXT(('Eid List Entry'!$H$3),"MM/DD/YY"))</f>
        <v/>
      </c>
      <c r="G74" s="104" t="str">
        <f>IF(ISBLANK('Eid List Entry'!C74),"",('Eid List Entry'!$H$5))</f>
        <v/>
      </c>
    </row>
    <row r="75" spans="1:7" x14ac:dyDescent="0.25">
      <c r="A75" s="104" t="str">
        <f>'Eid List Entry'!B75</f>
        <v xml:space="preserve"> </v>
      </c>
      <c r="B75" s="104" t="str">
        <f>IF(ISBLANK('Eid List Entry'!C75),"",('Eid List Entry'!C75))</f>
        <v/>
      </c>
      <c r="C75" s="104" t="str">
        <f>IF(ISBLANK('Eid List Entry'!D75),"",('Eid List Entry'!D75))</f>
        <v/>
      </c>
      <c r="D75" s="138" t="str">
        <f>IF(ISBLANK('Eid List Entry'!C75),"",('Eid List Entry'!$H$7))</f>
        <v/>
      </c>
      <c r="E75" s="129" t="str">
        <f>IF(ISBLANK('Eid List Entry'!C75),"",('Eid List Entry'!$H$8))</f>
        <v/>
      </c>
      <c r="F75" s="140" t="str">
        <f>IF(ISBLANK('Eid List Entry'!C75),"",TEXT(('Eid List Entry'!$H$3),"MM/DD/YY"))</f>
        <v/>
      </c>
      <c r="G75" s="104" t="str">
        <f>IF(ISBLANK('Eid List Entry'!C75),"",('Eid List Entry'!$H$5))</f>
        <v/>
      </c>
    </row>
    <row r="76" spans="1:7" x14ac:dyDescent="0.25">
      <c r="A76" s="104" t="str">
        <f>'Eid List Entry'!B76</f>
        <v xml:space="preserve"> </v>
      </c>
      <c r="B76" s="104" t="str">
        <f>IF(ISBLANK('Eid List Entry'!C76),"",('Eid List Entry'!C76))</f>
        <v/>
      </c>
      <c r="C76" s="104" t="str">
        <f>IF(ISBLANK('Eid List Entry'!D76),"",('Eid List Entry'!D76))</f>
        <v/>
      </c>
      <c r="D76" s="138" t="str">
        <f>IF(ISBLANK('Eid List Entry'!C76),"",('Eid List Entry'!$H$7))</f>
        <v/>
      </c>
      <c r="E76" s="129" t="str">
        <f>IF(ISBLANK('Eid List Entry'!C76),"",('Eid List Entry'!$H$8))</f>
        <v/>
      </c>
      <c r="F76" s="140" t="str">
        <f>IF(ISBLANK('Eid List Entry'!C76),"",TEXT(('Eid List Entry'!$H$3),"MM/DD/YY"))</f>
        <v/>
      </c>
      <c r="G76" s="104" t="str">
        <f>IF(ISBLANK('Eid List Entry'!C76),"",('Eid List Entry'!$H$5))</f>
        <v/>
      </c>
    </row>
    <row r="77" spans="1:7" x14ac:dyDescent="0.25">
      <c r="A77" s="104" t="str">
        <f>'Eid List Entry'!B77</f>
        <v xml:space="preserve"> </v>
      </c>
      <c r="B77" s="104" t="str">
        <f>IF(ISBLANK('Eid List Entry'!C77),"",('Eid List Entry'!C77))</f>
        <v/>
      </c>
      <c r="C77" s="104" t="str">
        <f>IF(ISBLANK('Eid List Entry'!D77),"",('Eid List Entry'!D77))</f>
        <v/>
      </c>
      <c r="D77" s="138" t="str">
        <f>IF(ISBLANK('Eid List Entry'!C77),"",('Eid List Entry'!$H$7))</f>
        <v/>
      </c>
      <c r="E77" s="129" t="str">
        <f>IF(ISBLANK('Eid List Entry'!C77),"",('Eid List Entry'!$H$8))</f>
        <v/>
      </c>
      <c r="F77" s="140" t="str">
        <f>IF(ISBLANK('Eid List Entry'!C77),"",TEXT(('Eid List Entry'!$H$3),"MM/DD/YY"))</f>
        <v/>
      </c>
      <c r="G77" s="104" t="str">
        <f>IF(ISBLANK('Eid List Entry'!C77),"",('Eid List Entry'!$H$5))</f>
        <v/>
      </c>
    </row>
    <row r="78" spans="1:7" x14ac:dyDescent="0.25">
      <c r="A78" s="104" t="str">
        <f>'Eid List Entry'!B78</f>
        <v xml:space="preserve"> </v>
      </c>
      <c r="B78" s="104" t="str">
        <f>IF(ISBLANK('Eid List Entry'!C78),"",('Eid List Entry'!C78))</f>
        <v/>
      </c>
      <c r="C78" s="104" t="str">
        <f>IF(ISBLANK('Eid List Entry'!D78),"",('Eid List Entry'!D78))</f>
        <v/>
      </c>
      <c r="D78" s="138" t="str">
        <f>IF(ISBLANK('Eid List Entry'!C78),"",('Eid List Entry'!$H$7))</f>
        <v/>
      </c>
      <c r="E78" s="129" t="str">
        <f>IF(ISBLANK('Eid List Entry'!C78),"",('Eid List Entry'!$H$8))</f>
        <v/>
      </c>
      <c r="F78" s="140" t="str">
        <f>IF(ISBLANK('Eid List Entry'!C78),"",TEXT(('Eid List Entry'!$H$3),"MM/DD/YY"))</f>
        <v/>
      </c>
      <c r="G78" s="104" t="str">
        <f>IF(ISBLANK('Eid List Entry'!C78),"",('Eid List Entry'!$H$5))</f>
        <v/>
      </c>
    </row>
    <row r="79" spans="1:7" x14ac:dyDescent="0.25">
      <c r="A79" s="104" t="str">
        <f>'Eid List Entry'!B79</f>
        <v xml:space="preserve"> </v>
      </c>
      <c r="B79" s="104" t="str">
        <f>IF(ISBLANK('Eid List Entry'!C79),"",('Eid List Entry'!C79))</f>
        <v/>
      </c>
      <c r="C79" s="104" t="str">
        <f>IF(ISBLANK('Eid List Entry'!D79),"",('Eid List Entry'!D79))</f>
        <v/>
      </c>
      <c r="D79" s="138" t="str">
        <f>IF(ISBLANK('Eid List Entry'!C79),"",('Eid List Entry'!$H$7))</f>
        <v/>
      </c>
      <c r="E79" s="129" t="str">
        <f>IF(ISBLANK('Eid List Entry'!C79),"",('Eid List Entry'!$H$8))</f>
        <v/>
      </c>
      <c r="F79" s="140" t="str">
        <f>IF(ISBLANK('Eid List Entry'!C79),"",TEXT(('Eid List Entry'!$H$3),"MM/DD/YY"))</f>
        <v/>
      </c>
      <c r="G79" s="104" t="str">
        <f>IF(ISBLANK('Eid List Entry'!C79),"",('Eid List Entry'!$H$5))</f>
        <v/>
      </c>
    </row>
    <row r="80" spans="1:7" x14ac:dyDescent="0.25">
      <c r="A80" s="104" t="str">
        <f>'Eid List Entry'!B80</f>
        <v xml:space="preserve"> </v>
      </c>
      <c r="B80" s="104" t="str">
        <f>IF(ISBLANK('Eid List Entry'!C80),"",('Eid List Entry'!C80))</f>
        <v/>
      </c>
      <c r="C80" s="104" t="str">
        <f>IF(ISBLANK('Eid List Entry'!D80),"",('Eid List Entry'!D80))</f>
        <v/>
      </c>
      <c r="D80" s="138" t="str">
        <f>IF(ISBLANK('Eid List Entry'!C80),"",('Eid List Entry'!$H$7))</f>
        <v/>
      </c>
      <c r="E80" s="129" t="str">
        <f>IF(ISBLANK('Eid List Entry'!C80),"",('Eid List Entry'!$H$8))</f>
        <v/>
      </c>
      <c r="F80" s="140" t="str">
        <f>IF(ISBLANK('Eid List Entry'!C80),"",TEXT(('Eid List Entry'!$H$3),"MM/DD/YY"))</f>
        <v/>
      </c>
      <c r="G80" s="104" t="str">
        <f>IF(ISBLANK('Eid List Entry'!C80),"",('Eid List Entry'!$H$5))</f>
        <v/>
      </c>
    </row>
    <row r="81" spans="1:7" x14ac:dyDescent="0.25">
      <c r="A81" s="104" t="str">
        <f>'Eid List Entry'!B81</f>
        <v xml:space="preserve"> </v>
      </c>
      <c r="B81" s="104" t="str">
        <f>IF(ISBLANK('Eid List Entry'!C81),"",('Eid List Entry'!C81))</f>
        <v/>
      </c>
      <c r="C81" s="104" t="str">
        <f>IF(ISBLANK('Eid List Entry'!D81),"",('Eid List Entry'!D81))</f>
        <v/>
      </c>
      <c r="D81" s="138" t="str">
        <f>IF(ISBLANK('Eid List Entry'!C81),"",('Eid List Entry'!$H$7))</f>
        <v/>
      </c>
      <c r="E81" s="129" t="str">
        <f>IF(ISBLANK('Eid List Entry'!C81),"",('Eid List Entry'!$H$8))</f>
        <v/>
      </c>
      <c r="F81" s="140" t="str">
        <f>IF(ISBLANK('Eid List Entry'!C81),"",TEXT(('Eid List Entry'!$H$3),"MM/DD/YY"))</f>
        <v/>
      </c>
      <c r="G81" s="104" t="str">
        <f>IF(ISBLANK('Eid List Entry'!C81),"",('Eid List Entry'!$H$5))</f>
        <v/>
      </c>
    </row>
    <row r="82" spans="1:7" x14ac:dyDescent="0.25">
      <c r="A82" s="104" t="str">
        <f>'Eid List Entry'!B82</f>
        <v xml:space="preserve"> </v>
      </c>
      <c r="B82" s="104" t="str">
        <f>IF(ISBLANK('Eid List Entry'!C82),"",('Eid List Entry'!C82))</f>
        <v/>
      </c>
      <c r="C82" s="104" t="str">
        <f>IF(ISBLANK('Eid List Entry'!D82),"",('Eid List Entry'!D82))</f>
        <v/>
      </c>
      <c r="D82" s="138" t="str">
        <f>IF(ISBLANK('Eid List Entry'!C82),"",('Eid List Entry'!$H$7))</f>
        <v/>
      </c>
      <c r="E82" s="129" t="str">
        <f>IF(ISBLANK('Eid List Entry'!C82),"",('Eid List Entry'!$H$8))</f>
        <v/>
      </c>
      <c r="F82" s="140" t="str">
        <f>IF(ISBLANK('Eid List Entry'!C82),"",TEXT(('Eid List Entry'!$H$3),"MM/DD/YY"))</f>
        <v/>
      </c>
      <c r="G82" s="104" t="str">
        <f>IF(ISBLANK('Eid List Entry'!C82),"",('Eid List Entry'!$H$5))</f>
        <v/>
      </c>
    </row>
    <row r="83" spans="1:7" x14ac:dyDescent="0.25">
      <c r="A83" s="104" t="str">
        <f>'Eid List Entry'!B83</f>
        <v xml:space="preserve"> </v>
      </c>
      <c r="B83" s="104" t="str">
        <f>IF(ISBLANK('Eid List Entry'!C83),"",('Eid List Entry'!C83))</f>
        <v/>
      </c>
      <c r="C83" s="104" t="str">
        <f>IF(ISBLANK('Eid List Entry'!D83),"",('Eid List Entry'!D83))</f>
        <v/>
      </c>
      <c r="D83" s="138" t="str">
        <f>IF(ISBLANK('Eid List Entry'!C83),"",('Eid List Entry'!$H$7))</f>
        <v/>
      </c>
      <c r="E83" s="129" t="str">
        <f>IF(ISBLANK('Eid List Entry'!C83),"",('Eid List Entry'!$H$8))</f>
        <v/>
      </c>
      <c r="F83" s="140" t="str">
        <f>IF(ISBLANK('Eid List Entry'!C83),"",TEXT(('Eid List Entry'!$H$3),"MM/DD/YY"))</f>
        <v/>
      </c>
      <c r="G83" s="104" t="str">
        <f>IF(ISBLANK('Eid List Entry'!C83),"",('Eid List Entry'!$H$5))</f>
        <v/>
      </c>
    </row>
    <row r="84" spans="1:7" x14ac:dyDescent="0.25">
      <c r="A84" s="104" t="str">
        <f>'Eid List Entry'!B84</f>
        <v xml:space="preserve"> </v>
      </c>
      <c r="B84" s="104" t="str">
        <f>IF(ISBLANK('Eid List Entry'!C84),"",('Eid List Entry'!C84))</f>
        <v/>
      </c>
      <c r="C84" s="104" t="str">
        <f>IF(ISBLANK('Eid List Entry'!D84),"",('Eid List Entry'!D84))</f>
        <v/>
      </c>
      <c r="D84" s="138" t="str">
        <f>IF(ISBLANK('Eid List Entry'!C84),"",('Eid List Entry'!$H$7))</f>
        <v/>
      </c>
      <c r="E84" s="129" t="str">
        <f>IF(ISBLANK('Eid List Entry'!C84),"",('Eid List Entry'!$H$8))</f>
        <v/>
      </c>
      <c r="F84" s="140" t="str">
        <f>IF(ISBLANK('Eid List Entry'!C84),"",TEXT(('Eid List Entry'!$H$3),"MM/DD/YY"))</f>
        <v/>
      </c>
      <c r="G84" s="104" t="str">
        <f>IF(ISBLANK('Eid List Entry'!C84),"",('Eid List Entry'!$H$5))</f>
        <v/>
      </c>
    </row>
    <row r="85" spans="1:7" x14ac:dyDescent="0.25">
      <c r="A85" s="104" t="str">
        <f>'Eid List Entry'!B85</f>
        <v xml:space="preserve"> </v>
      </c>
      <c r="B85" s="104" t="str">
        <f>IF(ISBLANK('Eid List Entry'!C85),"",('Eid List Entry'!C85))</f>
        <v/>
      </c>
      <c r="C85" s="104" t="str">
        <f>IF(ISBLANK('Eid List Entry'!D85),"",('Eid List Entry'!D85))</f>
        <v/>
      </c>
      <c r="D85" s="138" t="str">
        <f>IF(ISBLANK('Eid List Entry'!C85),"",('Eid List Entry'!$H$7))</f>
        <v/>
      </c>
      <c r="E85" s="129" t="str">
        <f>IF(ISBLANK('Eid List Entry'!C85),"",('Eid List Entry'!$H$8))</f>
        <v/>
      </c>
      <c r="F85" s="140" t="str">
        <f>IF(ISBLANK('Eid List Entry'!C85),"",TEXT(('Eid List Entry'!$H$3),"MM/DD/YY"))</f>
        <v/>
      </c>
      <c r="G85" s="104" t="str">
        <f>IF(ISBLANK('Eid List Entry'!C85),"",('Eid List Entry'!$H$5))</f>
        <v/>
      </c>
    </row>
    <row r="86" spans="1:7" x14ac:dyDescent="0.25">
      <c r="A86" s="104" t="str">
        <f>'Eid List Entry'!B86</f>
        <v xml:space="preserve"> </v>
      </c>
      <c r="B86" s="104" t="str">
        <f>IF(ISBLANK('Eid List Entry'!C86),"",('Eid List Entry'!C86))</f>
        <v/>
      </c>
      <c r="C86" s="104" t="str">
        <f>IF(ISBLANK('Eid List Entry'!D86),"",('Eid List Entry'!D86))</f>
        <v/>
      </c>
      <c r="D86" s="138" t="str">
        <f>IF(ISBLANK('Eid List Entry'!C86),"",('Eid List Entry'!$H$7))</f>
        <v/>
      </c>
      <c r="E86" s="129" t="str">
        <f>IF(ISBLANK('Eid List Entry'!C86),"",('Eid List Entry'!$H$8))</f>
        <v/>
      </c>
      <c r="F86" s="140" t="str">
        <f>IF(ISBLANK('Eid List Entry'!C86),"",TEXT(('Eid List Entry'!$H$3),"MM/DD/YY"))</f>
        <v/>
      </c>
      <c r="G86" s="104" t="str">
        <f>IF(ISBLANK('Eid List Entry'!C86),"",('Eid List Entry'!$H$5))</f>
        <v/>
      </c>
    </row>
    <row r="87" spans="1:7" x14ac:dyDescent="0.25">
      <c r="A87" s="104" t="str">
        <f>'Eid List Entry'!B87</f>
        <v xml:space="preserve"> </v>
      </c>
      <c r="B87" s="104" t="str">
        <f>IF(ISBLANK('Eid List Entry'!C87),"",('Eid List Entry'!C87))</f>
        <v/>
      </c>
      <c r="C87" s="104" t="str">
        <f>IF(ISBLANK('Eid List Entry'!D87),"",('Eid List Entry'!D87))</f>
        <v/>
      </c>
      <c r="D87" s="138" t="str">
        <f>IF(ISBLANK('Eid List Entry'!C87),"",('Eid List Entry'!$H$7))</f>
        <v/>
      </c>
      <c r="E87" s="129" t="str">
        <f>IF(ISBLANK('Eid List Entry'!C87),"",('Eid List Entry'!$H$8))</f>
        <v/>
      </c>
      <c r="F87" s="140" t="str">
        <f>IF(ISBLANK('Eid List Entry'!C87),"",TEXT(('Eid List Entry'!$H$3),"MM/DD/YY"))</f>
        <v/>
      </c>
      <c r="G87" s="104" t="str">
        <f>IF(ISBLANK('Eid List Entry'!C87),"",('Eid List Entry'!$H$5))</f>
        <v/>
      </c>
    </row>
    <row r="88" spans="1:7" x14ac:dyDescent="0.25">
      <c r="A88" s="104" t="str">
        <f>'Eid List Entry'!B88</f>
        <v xml:space="preserve"> </v>
      </c>
      <c r="B88" s="104" t="str">
        <f>IF(ISBLANK('Eid List Entry'!C88),"",('Eid List Entry'!C88))</f>
        <v/>
      </c>
      <c r="C88" s="104" t="str">
        <f>IF(ISBLANK('Eid List Entry'!D88),"",('Eid List Entry'!D88))</f>
        <v/>
      </c>
      <c r="D88" s="138" t="str">
        <f>IF(ISBLANK('Eid List Entry'!C88),"",('Eid List Entry'!$H$7))</f>
        <v/>
      </c>
      <c r="E88" s="129" t="str">
        <f>IF(ISBLANK('Eid List Entry'!C88),"",('Eid List Entry'!$H$8))</f>
        <v/>
      </c>
      <c r="F88" s="140" t="str">
        <f>IF(ISBLANK('Eid List Entry'!C88),"",TEXT(('Eid List Entry'!$H$3),"MM/DD/YY"))</f>
        <v/>
      </c>
      <c r="G88" s="104" t="str">
        <f>IF(ISBLANK('Eid List Entry'!C88),"",('Eid List Entry'!$H$5))</f>
        <v/>
      </c>
    </row>
    <row r="89" spans="1:7" x14ac:dyDescent="0.25">
      <c r="A89" s="104" t="str">
        <f>'Eid List Entry'!B89</f>
        <v xml:space="preserve"> </v>
      </c>
      <c r="B89" s="104" t="str">
        <f>IF(ISBLANK('Eid List Entry'!C89),"",('Eid List Entry'!C89))</f>
        <v/>
      </c>
      <c r="C89" s="104" t="str">
        <f>IF(ISBLANK('Eid List Entry'!D89),"",('Eid List Entry'!D89))</f>
        <v/>
      </c>
      <c r="D89" s="138" t="str">
        <f>IF(ISBLANK('Eid List Entry'!C89),"",('Eid List Entry'!$H$7))</f>
        <v/>
      </c>
      <c r="E89" s="129" t="str">
        <f>IF(ISBLANK('Eid List Entry'!C89),"",('Eid List Entry'!$H$8))</f>
        <v/>
      </c>
      <c r="F89" s="140" t="str">
        <f>IF(ISBLANK('Eid List Entry'!C89),"",TEXT(('Eid List Entry'!$H$3),"MM/DD/YY"))</f>
        <v/>
      </c>
      <c r="G89" s="104" t="str">
        <f>IF(ISBLANK('Eid List Entry'!C89),"",('Eid List Entry'!$H$5))</f>
        <v/>
      </c>
    </row>
    <row r="90" spans="1:7" x14ac:dyDescent="0.25">
      <c r="A90" s="104" t="str">
        <f>'Eid List Entry'!B90</f>
        <v xml:space="preserve"> </v>
      </c>
      <c r="B90" s="104" t="str">
        <f>IF(ISBLANK('Eid List Entry'!C90),"",('Eid List Entry'!C90))</f>
        <v/>
      </c>
      <c r="C90" s="104" t="str">
        <f>IF(ISBLANK('Eid List Entry'!D90),"",('Eid List Entry'!D90))</f>
        <v/>
      </c>
      <c r="D90" s="138" t="str">
        <f>IF(ISBLANK('Eid List Entry'!C90),"",('Eid List Entry'!$H$7))</f>
        <v/>
      </c>
      <c r="E90" s="129" t="str">
        <f>IF(ISBLANK('Eid List Entry'!C90),"",('Eid List Entry'!$H$8))</f>
        <v/>
      </c>
      <c r="F90" s="140" t="str">
        <f>IF(ISBLANK('Eid List Entry'!C90),"",TEXT(('Eid List Entry'!$H$3),"MM/DD/YY"))</f>
        <v/>
      </c>
      <c r="G90" s="104" t="str">
        <f>IF(ISBLANK('Eid List Entry'!C90),"",('Eid List Entry'!$H$5))</f>
        <v/>
      </c>
    </row>
    <row r="91" spans="1:7" x14ac:dyDescent="0.25">
      <c r="A91" s="104" t="str">
        <f>'Eid List Entry'!B91</f>
        <v xml:space="preserve"> </v>
      </c>
      <c r="B91" s="104" t="str">
        <f>IF(ISBLANK('Eid List Entry'!C91),"",('Eid List Entry'!C91))</f>
        <v/>
      </c>
      <c r="C91" s="104" t="str">
        <f>IF(ISBLANK('Eid List Entry'!D91),"",('Eid List Entry'!D91))</f>
        <v/>
      </c>
      <c r="D91" s="138" t="str">
        <f>IF(ISBLANK('Eid List Entry'!C91),"",('Eid List Entry'!$H$7))</f>
        <v/>
      </c>
      <c r="E91" s="129" t="str">
        <f>IF(ISBLANK('Eid List Entry'!C91),"",('Eid List Entry'!$H$8))</f>
        <v/>
      </c>
      <c r="F91" s="140" t="str">
        <f>IF(ISBLANK('Eid List Entry'!C91),"",TEXT(('Eid List Entry'!$H$3),"MM/DD/YY"))</f>
        <v/>
      </c>
      <c r="G91" s="104" t="str">
        <f>IF(ISBLANK('Eid List Entry'!C91),"",('Eid List Entry'!$H$5))</f>
        <v/>
      </c>
    </row>
    <row r="92" spans="1:7" x14ac:dyDescent="0.25">
      <c r="A92" s="104" t="str">
        <f>'Eid List Entry'!B92</f>
        <v xml:space="preserve"> </v>
      </c>
      <c r="B92" s="104" t="str">
        <f>IF(ISBLANK('Eid List Entry'!C92),"",('Eid List Entry'!C92))</f>
        <v/>
      </c>
      <c r="C92" s="104" t="str">
        <f>IF(ISBLANK('Eid List Entry'!D92),"",('Eid List Entry'!D92))</f>
        <v/>
      </c>
      <c r="D92" s="138" t="str">
        <f>IF(ISBLANK('Eid List Entry'!C92),"",('Eid List Entry'!$H$7))</f>
        <v/>
      </c>
      <c r="E92" s="129" t="str">
        <f>IF(ISBLANK('Eid List Entry'!C92),"",('Eid List Entry'!$H$8))</f>
        <v/>
      </c>
      <c r="F92" s="140" t="str">
        <f>IF(ISBLANK('Eid List Entry'!C92),"",TEXT(('Eid List Entry'!$H$3),"MM/DD/YY"))</f>
        <v/>
      </c>
      <c r="G92" s="104" t="str">
        <f>IF(ISBLANK('Eid List Entry'!C92),"",('Eid List Entry'!$H$5))</f>
        <v/>
      </c>
    </row>
    <row r="93" spans="1:7" x14ac:dyDescent="0.25">
      <c r="A93" s="104" t="str">
        <f>'Eid List Entry'!B93</f>
        <v xml:space="preserve"> </v>
      </c>
      <c r="B93" s="104" t="str">
        <f>IF(ISBLANK('Eid List Entry'!C93),"",('Eid List Entry'!C93))</f>
        <v/>
      </c>
      <c r="C93" s="104" t="str">
        <f>IF(ISBLANK('Eid List Entry'!D93),"",('Eid List Entry'!D93))</f>
        <v/>
      </c>
      <c r="D93" s="138" t="str">
        <f>IF(ISBLANK('Eid List Entry'!C93),"",('Eid List Entry'!$H$7))</f>
        <v/>
      </c>
      <c r="E93" s="129" t="str">
        <f>IF(ISBLANK('Eid List Entry'!C93),"",('Eid List Entry'!$H$8))</f>
        <v/>
      </c>
      <c r="F93" s="140" t="str">
        <f>IF(ISBLANK('Eid List Entry'!C93),"",TEXT(('Eid List Entry'!$H$3),"MM/DD/YY"))</f>
        <v/>
      </c>
      <c r="G93" s="104" t="str">
        <f>IF(ISBLANK('Eid List Entry'!C93),"",('Eid List Entry'!$H$5))</f>
        <v/>
      </c>
    </row>
    <row r="94" spans="1:7" x14ac:dyDescent="0.25">
      <c r="A94" s="104" t="str">
        <f>'Eid List Entry'!B94</f>
        <v xml:space="preserve"> </v>
      </c>
      <c r="B94" s="104" t="str">
        <f>IF(ISBLANK('Eid List Entry'!C94),"",('Eid List Entry'!C94))</f>
        <v/>
      </c>
      <c r="C94" s="104" t="str">
        <f>IF(ISBLANK('Eid List Entry'!D94),"",('Eid List Entry'!D94))</f>
        <v/>
      </c>
      <c r="D94" s="138" t="str">
        <f>IF(ISBLANK('Eid List Entry'!C94),"",('Eid List Entry'!$H$7))</f>
        <v/>
      </c>
      <c r="E94" s="129" t="str">
        <f>IF(ISBLANK('Eid List Entry'!C94),"",('Eid List Entry'!$H$8))</f>
        <v/>
      </c>
      <c r="F94" s="140" t="str">
        <f>IF(ISBLANK('Eid List Entry'!C94),"",TEXT(('Eid List Entry'!$H$3),"MM/DD/YY"))</f>
        <v/>
      </c>
      <c r="G94" s="104" t="str">
        <f>IF(ISBLANK('Eid List Entry'!C94),"",('Eid List Entry'!$H$5))</f>
        <v/>
      </c>
    </row>
    <row r="95" spans="1:7" x14ac:dyDescent="0.25">
      <c r="A95" s="104" t="str">
        <f>'Eid List Entry'!B95</f>
        <v xml:space="preserve"> </v>
      </c>
      <c r="B95" s="104" t="str">
        <f>IF(ISBLANK('Eid List Entry'!C95),"",('Eid List Entry'!C95))</f>
        <v/>
      </c>
      <c r="C95" s="104" t="str">
        <f>IF(ISBLANK('Eid List Entry'!D95),"",('Eid List Entry'!D95))</f>
        <v/>
      </c>
      <c r="D95" s="138" t="str">
        <f>IF(ISBLANK('Eid List Entry'!C95),"",('Eid List Entry'!$H$7))</f>
        <v/>
      </c>
      <c r="E95" s="129" t="str">
        <f>IF(ISBLANK('Eid List Entry'!C95),"",('Eid List Entry'!$H$8))</f>
        <v/>
      </c>
      <c r="F95" s="140" t="str">
        <f>IF(ISBLANK('Eid List Entry'!C95),"",TEXT(('Eid List Entry'!$H$3),"MM/DD/YY"))</f>
        <v/>
      </c>
      <c r="G95" s="104" t="str">
        <f>IF(ISBLANK('Eid List Entry'!C95),"",('Eid List Entry'!$H$5))</f>
        <v/>
      </c>
    </row>
    <row r="96" spans="1:7" x14ac:dyDescent="0.25">
      <c r="A96" s="104" t="str">
        <f>'Eid List Entry'!B96</f>
        <v xml:space="preserve"> </v>
      </c>
      <c r="B96" s="104" t="str">
        <f>IF(ISBLANK('Eid List Entry'!C96),"",('Eid List Entry'!C96))</f>
        <v/>
      </c>
      <c r="C96" s="104" t="str">
        <f>IF(ISBLANK('Eid List Entry'!D96),"",('Eid List Entry'!D96))</f>
        <v/>
      </c>
      <c r="D96" s="138" t="str">
        <f>IF(ISBLANK('Eid List Entry'!C96),"",('Eid List Entry'!$H$7))</f>
        <v/>
      </c>
      <c r="E96" s="129" t="str">
        <f>IF(ISBLANK('Eid List Entry'!C96),"",('Eid List Entry'!$H$8))</f>
        <v/>
      </c>
      <c r="F96" s="140" t="str">
        <f>IF(ISBLANK('Eid List Entry'!C96),"",TEXT(('Eid List Entry'!$H$3),"MM/DD/YY"))</f>
        <v/>
      </c>
      <c r="G96" s="104" t="str">
        <f>IF(ISBLANK('Eid List Entry'!C96),"",('Eid List Entry'!$H$5))</f>
        <v/>
      </c>
    </row>
    <row r="97" spans="1:7" x14ac:dyDescent="0.25">
      <c r="A97" s="104" t="str">
        <f>'Eid List Entry'!B97</f>
        <v xml:space="preserve"> </v>
      </c>
      <c r="B97" s="104" t="str">
        <f>IF(ISBLANK('Eid List Entry'!C97),"",('Eid List Entry'!C97))</f>
        <v/>
      </c>
      <c r="C97" s="104" t="str">
        <f>IF(ISBLANK('Eid List Entry'!D97),"",('Eid List Entry'!D97))</f>
        <v/>
      </c>
      <c r="D97" s="138" t="str">
        <f>IF(ISBLANK('Eid List Entry'!C97),"",('Eid List Entry'!$H$7))</f>
        <v/>
      </c>
      <c r="E97" s="129" t="str">
        <f>IF(ISBLANK('Eid List Entry'!C97),"",('Eid List Entry'!$H$8))</f>
        <v/>
      </c>
      <c r="F97" s="140" t="str">
        <f>IF(ISBLANK('Eid List Entry'!C97),"",TEXT(('Eid List Entry'!$H$3),"MM/DD/YY"))</f>
        <v/>
      </c>
      <c r="G97" s="104" t="str">
        <f>IF(ISBLANK('Eid List Entry'!C97),"",('Eid List Entry'!$H$5))</f>
        <v/>
      </c>
    </row>
    <row r="98" spans="1:7" x14ac:dyDescent="0.25">
      <c r="A98" s="104" t="str">
        <f>'Eid List Entry'!B98</f>
        <v xml:space="preserve"> </v>
      </c>
      <c r="B98" s="104" t="str">
        <f>IF(ISBLANK('Eid List Entry'!C98),"",('Eid List Entry'!C98))</f>
        <v/>
      </c>
      <c r="C98" s="104" t="str">
        <f>IF(ISBLANK('Eid List Entry'!D98),"",('Eid List Entry'!D98))</f>
        <v/>
      </c>
      <c r="D98" s="138" t="str">
        <f>IF(ISBLANK('Eid List Entry'!C98),"",('Eid List Entry'!$H$7))</f>
        <v/>
      </c>
      <c r="E98" s="129" t="str">
        <f>IF(ISBLANK('Eid List Entry'!C98),"",('Eid List Entry'!$H$8))</f>
        <v/>
      </c>
      <c r="F98" s="140" t="str">
        <f>IF(ISBLANK('Eid List Entry'!C98),"",TEXT(('Eid List Entry'!$H$3),"MM/DD/YY"))</f>
        <v/>
      </c>
      <c r="G98" s="104" t="str">
        <f>IF(ISBLANK('Eid List Entry'!C98),"",('Eid List Entry'!$H$5))</f>
        <v/>
      </c>
    </row>
    <row r="99" spans="1:7" x14ac:dyDescent="0.25">
      <c r="A99" s="104" t="str">
        <f>'Eid List Entry'!B99</f>
        <v xml:space="preserve"> </v>
      </c>
      <c r="B99" s="104" t="str">
        <f>IF(ISBLANK('Eid List Entry'!C99),"",('Eid List Entry'!C99))</f>
        <v/>
      </c>
      <c r="C99" s="104" t="str">
        <f>IF(ISBLANK('Eid List Entry'!D99),"",('Eid List Entry'!D99))</f>
        <v/>
      </c>
      <c r="D99" s="138" t="str">
        <f>IF(ISBLANK('Eid List Entry'!C99),"",('Eid List Entry'!$H$7))</f>
        <v/>
      </c>
      <c r="E99" s="129" t="str">
        <f>IF(ISBLANK('Eid List Entry'!C99),"",('Eid List Entry'!$H$8))</f>
        <v/>
      </c>
      <c r="F99" s="140" t="str">
        <f>IF(ISBLANK('Eid List Entry'!C99),"",TEXT(('Eid List Entry'!$H$3),"MM/DD/YY"))</f>
        <v/>
      </c>
      <c r="G99" s="104" t="str">
        <f>IF(ISBLANK('Eid List Entry'!C99),"",('Eid List Entry'!$H$5))</f>
        <v/>
      </c>
    </row>
    <row r="100" spans="1:7" x14ac:dyDescent="0.25">
      <c r="A100" s="104" t="str">
        <f>'Eid List Entry'!B100</f>
        <v xml:space="preserve"> </v>
      </c>
      <c r="B100" s="104" t="str">
        <f>IF(ISBLANK('Eid List Entry'!C100),"",('Eid List Entry'!C100))</f>
        <v/>
      </c>
      <c r="C100" s="104" t="str">
        <f>IF(ISBLANK('Eid List Entry'!D100),"",('Eid List Entry'!D100))</f>
        <v/>
      </c>
      <c r="D100" s="138" t="str">
        <f>IF(ISBLANK('Eid List Entry'!C100),"",('Eid List Entry'!$H$7))</f>
        <v/>
      </c>
      <c r="E100" s="129" t="str">
        <f>IF(ISBLANK('Eid List Entry'!C100),"",('Eid List Entry'!$H$8))</f>
        <v/>
      </c>
      <c r="F100" s="140" t="str">
        <f>IF(ISBLANK('Eid List Entry'!C100),"",TEXT(('Eid List Entry'!$H$3),"MM/DD/YY"))</f>
        <v/>
      </c>
      <c r="G100" s="104" t="str">
        <f>IF(ISBLANK('Eid List Entry'!C100),"",('Eid List Entry'!$H$5))</f>
        <v/>
      </c>
    </row>
    <row r="101" spans="1:7" x14ac:dyDescent="0.25">
      <c r="A101" s="104" t="str">
        <f>'Eid List Entry'!B101</f>
        <v xml:space="preserve"> </v>
      </c>
      <c r="B101" s="104" t="str">
        <f>IF(ISBLANK('Eid List Entry'!C101),"",('Eid List Entry'!C101))</f>
        <v/>
      </c>
      <c r="C101" s="104" t="str">
        <f>IF(ISBLANK('Eid List Entry'!D101),"",('Eid List Entry'!D101))</f>
        <v/>
      </c>
      <c r="D101" s="138" t="str">
        <f>IF(ISBLANK('Eid List Entry'!C101),"",('Eid List Entry'!$H$7))</f>
        <v/>
      </c>
      <c r="E101" s="129" t="str">
        <f>IF(ISBLANK('Eid List Entry'!C101),"",('Eid List Entry'!$H$8))</f>
        <v/>
      </c>
      <c r="F101" s="140" t="str">
        <f>IF(ISBLANK('Eid List Entry'!C101),"",TEXT(('Eid List Entry'!$H$3),"MM/DD/YY"))</f>
        <v/>
      </c>
      <c r="G101" s="104" t="str">
        <f>IF(ISBLANK('Eid List Entry'!C101),"",('Eid List Entry'!$H$5))</f>
        <v/>
      </c>
    </row>
    <row r="102" spans="1:7" x14ac:dyDescent="0.25">
      <c r="A102" s="104" t="str">
        <f>'Eid List Entry'!B102</f>
        <v xml:space="preserve"> </v>
      </c>
      <c r="B102" s="104" t="str">
        <f>IF(ISBLANK('Eid List Entry'!C102),"",('Eid List Entry'!C102))</f>
        <v/>
      </c>
      <c r="C102" s="104" t="str">
        <f>IF(ISBLANK('Eid List Entry'!D102),"",('Eid List Entry'!D102))</f>
        <v/>
      </c>
      <c r="D102" s="138" t="str">
        <f>IF(ISBLANK('Eid List Entry'!C102),"",('Eid List Entry'!$H$7))</f>
        <v/>
      </c>
      <c r="E102" s="129" t="str">
        <f>IF(ISBLANK('Eid List Entry'!C102),"",('Eid List Entry'!$H$8))</f>
        <v/>
      </c>
      <c r="F102" s="140" t="str">
        <f>IF(ISBLANK('Eid List Entry'!C102),"",TEXT(('Eid List Entry'!$H$3),"MM/DD/YY"))</f>
        <v/>
      </c>
      <c r="G102" s="104" t="str">
        <f>IF(ISBLANK('Eid List Entry'!C102),"",('Eid List Entry'!$H$5))</f>
        <v/>
      </c>
    </row>
    <row r="103" spans="1:7" x14ac:dyDescent="0.25">
      <c r="A103" s="104" t="str">
        <f>'Eid List Entry'!B103</f>
        <v xml:space="preserve"> </v>
      </c>
      <c r="B103" s="104" t="str">
        <f>IF(ISBLANK('Eid List Entry'!C103),"",('Eid List Entry'!C103))</f>
        <v/>
      </c>
      <c r="C103" s="104" t="str">
        <f>IF(ISBLANK('Eid List Entry'!D103),"",('Eid List Entry'!D103))</f>
        <v/>
      </c>
      <c r="D103" s="138" t="str">
        <f>IF(ISBLANK('Eid List Entry'!C103),"",('Eid List Entry'!$H$7))</f>
        <v/>
      </c>
      <c r="E103" s="129" t="str">
        <f>IF(ISBLANK('Eid List Entry'!C103),"",('Eid List Entry'!$H$8))</f>
        <v/>
      </c>
      <c r="F103" s="140" t="str">
        <f>IF(ISBLANK('Eid List Entry'!C103),"",TEXT(('Eid List Entry'!$H$3),"MM/DD/YY"))</f>
        <v/>
      </c>
      <c r="G103" s="104" t="str">
        <f>IF(ISBLANK('Eid List Entry'!C103),"",('Eid List Entry'!$H$5))</f>
        <v/>
      </c>
    </row>
    <row r="104" spans="1:7" x14ac:dyDescent="0.25">
      <c r="A104" s="104" t="str">
        <f>'Eid List Entry'!B104</f>
        <v xml:space="preserve"> </v>
      </c>
      <c r="B104" s="104" t="str">
        <f>IF(ISBLANK('Eid List Entry'!C104),"",('Eid List Entry'!C104))</f>
        <v/>
      </c>
      <c r="C104" s="104" t="str">
        <f>IF(ISBLANK('Eid List Entry'!D104),"",('Eid List Entry'!D104))</f>
        <v/>
      </c>
      <c r="D104" s="138" t="str">
        <f>IF(ISBLANK('Eid List Entry'!C104),"",('Eid List Entry'!$H$7))</f>
        <v/>
      </c>
      <c r="E104" s="129" t="str">
        <f>IF(ISBLANK('Eid List Entry'!C104),"",('Eid List Entry'!$H$8))</f>
        <v/>
      </c>
      <c r="F104" s="140" t="str">
        <f>IF(ISBLANK('Eid List Entry'!C104),"",TEXT(('Eid List Entry'!$H$3),"MM/DD/YY"))</f>
        <v/>
      </c>
      <c r="G104" s="104" t="str">
        <f>IF(ISBLANK('Eid List Entry'!C104),"",('Eid List Entry'!$H$5))</f>
        <v/>
      </c>
    </row>
    <row r="105" spans="1:7" x14ac:dyDescent="0.25">
      <c r="A105" s="104" t="str">
        <f>'Eid List Entry'!B105</f>
        <v xml:space="preserve"> </v>
      </c>
      <c r="B105" s="104" t="str">
        <f>IF(ISBLANK('Eid List Entry'!C105),"",('Eid List Entry'!C105))</f>
        <v/>
      </c>
      <c r="C105" s="104" t="str">
        <f>IF(ISBLANK('Eid List Entry'!D105),"",('Eid List Entry'!D105))</f>
        <v/>
      </c>
      <c r="D105" s="138" t="str">
        <f>IF(ISBLANK('Eid List Entry'!C105),"",('Eid List Entry'!$H$7))</f>
        <v/>
      </c>
      <c r="E105" s="129" t="str">
        <f>IF(ISBLANK('Eid List Entry'!C105),"",('Eid List Entry'!$H$8))</f>
        <v/>
      </c>
      <c r="F105" s="140" t="str">
        <f>IF(ISBLANK('Eid List Entry'!C105),"",TEXT(('Eid List Entry'!$H$3),"MM/DD/YY"))</f>
        <v/>
      </c>
      <c r="G105" s="104" t="str">
        <f>IF(ISBLANK('Eid List Entry'!C105),"",('Eid List Entry'!$H$5))</f>
        <v/>
      </c>
    </row>
    <row r="106" spans="1:7" x14ac:dyDescent="0.25">
      <c r="A106" s="104" t="str">
        <f>'Eid List Entry'!B106</f>
        <v xml:space="preserve"> </v>
      </c>
      <c r="B106" s="104" t="str">
        <f>IF(ISBLANK('Eid List Entry'!C106),"",('Eid List Entry'!C106))</f>
        <v/>
      </c>
      <c r="C106" s="104" t="str">
        <f>IF(ISBLANK('Eid List Entry'!D106),"",('Eid List Entry'!D106))</f>
        <v/>
      </c>
      <c r="D106" s="138" t="str">
        <f>IF(ISBLANK('Eid List Entry'!C106),"",('Eid List Entry'!$H$7))</f>
        <v/>
      </c>
      <c r="E106" s="129" t="str">
        <f>IF(ISBLANK('Eid List Entry'!C106),"",('Eid List Entry'!$H$8))</f>
        <v/>
      </c>
      <c r="F106" s="140" t="str">
        <f>IF(ISBLANK('Eid List Entry'!C106),"",TEXT(('Eid List Entry'!$H$3),"MM/DD/YY"))</f>
        <v/>
      </c>
      <c r="G106" s="104" t="str">
        <f>IF(ISBLANK('Eid List Entry'!C106),"",('Eid List Entry'!$H$5))</f>
        <v/>
      </c>
    </row>
    <row r="107" spans="1:7" x14ac:dyDescent="0.25">
      <c r="A107" s="104" t="str">
        <f>'Eid List Entry'!B107</f>
        <v xml:space="preserve"> </v>
      </c>
      <c r="B107" s="104" t="str">
        <f>IF(ISBLANK('Eid List Entry'!C107),"",('Eid List Entry'!C107))</f>
        <v/>
      </c>
      <c r="C107" s="104" t="str">
        <f>IF(ISBLANK('Eid List Entry'!D107),"",('Eid List Entry'!D107))</f>
        <v/>
      </c>
      <c r="D107" s="138" t="str">
        <f>IF(ISBLANK('Eid List Entry'!C107),"",('Eid List Entry'!$H$7))</f>
        <v/>
      </c>
      <c r="E107" s="129" t="str">
        <f>IF(ISBLANK('Eid List Entry'!C107),"",('Eid List Entry'!$H$8))</f>
        <v/>
      </c>
      <c r="F107" s="140" t="str">
        <f>IF(ISBLANK('Eid List Entry'!C107),"",TEXT(('Eid List Entry'!$H$3),"MM/DD/YY"))</f>
        <v/>
      </c>
      <c r="G107" s="104" t="str">
        <f>IF(ISBLANK('Eid List Entry'!C107),"",('Eid List Entry'!$H$5))</f>
        <v/>
      </c>
    </row>
    <row r="108" spans="1:7" x14ac:dyDescent="0.25">
      <c r="A108" s="104" t="str">
        <f>'Eid List Entry'!B108</f>
        <v xml:space="preserve"> </v>
      </c>
      <c r="B108" s="104" t="str">
        <f>IF(ISBLANK('Eid List Entry'!C108),"",('Eid List Entry'!C108))</f>
        <v/>
      </c>
      <c r="C108" s="104" t="str">
        <f>IF(ISBLANK('Eid List Entry'!D108),"",('Eid List Entry'!D108))</f>
        <v/>
      </c>
      <c r="D108" s="138" t="str">
        <f>IF(ISBLANK('Eid List Entry'!C108),"",('Eid List Entry'!$H$7))</f>
        <v/>
      </c>
      <c r="E108" s="129" t="str">
        <f>IF(ISBLANK('Eid List Entry'!C108),"",('Eid List Entry'!$H$8))</f>
        <v/>
      </c>
      <c r="F108" s="140" t="str">
        <f>IF(ISBLANK('Eid List Entry'!C108),"",TEXT(('Eid List Entry'!$H$3),"MM/DD/YY"))</f>
        <v/>
      </c>
      <c r="G108" s="104" t="str">
        <f>IF(ISBLANK('Eid List Entry'!C108),"",('Eid List Entry'!$H$5))</f>
        <v/>
      </c>
    </row>
    <row r="109" spans="1:7" x14ac:dyDescent="0.25">
      <c r="A109" s="104" t="str">
        <f>'Eid List Entry'!B109</f>
        <v xml:space="preserve"> </v>
      </c>
      <c r="B109" s="104" t="str">
        <f>IF(ISBLANK('Eid List Entry'!C109),"",('Eid List Entry'!C109))</f>
        <v/>
      </c>
      <c r="C109" s="104" t="str">
        <f>IF(ISBLANK('Eid List Entry'!D109),"",('Eid List Entry'!D109))</f>
        <v/>
      </c>
      <c r="D109" s="138" t="str">
        <f>IF(ISBLANK('Eid List Entry'!C109),"",('Eid List Entry'!$H$7))</f>
        <v/>
      </c>
      <c r="E109" s="129" t="str">
        <f>IF(ISBLANK('Eid List Entry'!C109),"",('Eid List Entry'!$H$8))</f>
        <v/>
      </c>
      <c r="F109" s="140" t="str">
        <f>IF(ISBLANK('Eid List Entry'!C109),"",TEXT(('Eid List Entry'!$H$3),"MM/DD/YY"))</f>
        <v/>
      </c>
      <c r="G109" s="104" t="str">
        <f>IF(ISBLANK('Eid List Entry'!C109),"",('Eid List Entry'!$H$5))</f>
        <v/>
      </c>
    </row>
    <row r="110" spans="1:7" x14ac:dyDescent="0.25">
      <c r="A110" s="104" t="str">
        <f>'Eid List Entry'!B110</f>
        <v xml:space="preserve"> </v>
      </c>
      <c r="B110" s="104" t="str">
        <f>IF(ISBLANK('Eid List Entry'!C110),"",('Eid List Entry'!C110))</f>
        <v/>
      </c>
      <c r="C110" s="104" t="str">
        <f>IF(ISBLANK('Eid List Entry'!D110),"",('Eid List Entry'!D110))</f>
        <v/>
      </c>
      <c r="D110" s="138" t="str">
        <f>IF(ISBLANK('Eid List Entry'!C110),"",('Eid List Entry'!$H$7))</f>
        <v/>
      </c>
      <c r="E110" s="129" t="str">
        <f>IF(ISBLANK('Eid List Entry'!C110),"",('Eid List Entry'!$H$8))</f>
        <v/>
      </c>
      <c r="F110" s="140" t="str">
        <f>IF(ISBLANK('Eid List Entry'!C110),"",TEXT(('Eid List Entry'!$H$3),"MM/DD/YY"))</f>
        <v/>
      </c>
      <c r="G110" s="104" t="str">
        <f>IF(ISBLANK('Eid List Entry'!C110),"",('Eid List Entry'!$H$5))</f>
        <v/>
      </c>
    </row>
    <row r="111" spans="1:7" x14ac:dyDescent="0.25">
      <c r="A111" s="104" t="str">
        <f>'Eid List Entry'!B111</f>
        <v xml:space="preserve"> </v>
      </c>
      <c r="B111" s="104" t="str">
        <f>IF(ISBLANK('Eid List Entry'!C111),"",('Eid List Entry'!C111))</f>
        <v/>
      </c>
      <c r="C111" s="104" t="str">
        <f>IF(ISBLANK('Eid List Entry'!D111),"",('Eid List Entry'!D111))</f>
        <v/>
      </c>
      <c r="D111" s="138" t="str">
        <f>IF(ISBLANK('Eid List Entry'!C111),"",('Eid List Entry'!$H$7))</f>
        <v/>
      </c>
      <c r="E111" s="129" t="str">
        <f>IF(ISBLANK('Eid List Entry'!C111),"",('Eid List Entry'!$H$8))</f>
        <v/>
      </c>
      <c r="F111" s="140" t="str">
        <f>IF(ISBLANK('Eid List Entry'!C111),"",TEXT(('Eid List Entry'!$H$3),"MM/DD/YY"))</f>
        <v/>
      </c>
      <c r="G111" s="104" t="str">
        <f>IF(ISBLANK('Eid List Entry'!C111),"",('Eid List Entry'!$H$5))</f>
        <v/>
      </c>
    </row>
    <row r="112" spans="1:7" x14ac:dyDescent="0.25">
      <c r="A112" s="104" t="str">
        <f>'Eid List Entry'!B112</f>
        <v xml:space="preserve"> </v>
      </c>
      <c r="B112" s="104" t="str">
        <f>IF(ISBLANK('Eid List Entry'!C112),"",('Eid List Entry'!C112))</f>
        <v/>
      </c>
      <c r="C112" s="104" t="str">
        <f>IF(ISBLANK('Eid List Entry'!D112),"",('Eid List Entry'!D112))</f>
        <v/>
      </c>
      <c r="D112" s="138" t="str">
        <f>IF(ISBLANK('Eid List Entry'!C112),"",('Eid List Entry'!$H$7))</f>
        <v/>
      </c>
      <c r="E112" s="129" t="str">
        <f>IF(ISBLANK('Eid List Entry'!C112),"",('Eid List Entry'!$H$8))</f>
        <v/>
      </c>
      <c r="F112" s="140" t="str">
        <f>IF(ISBLANK('Eid List Entry'!C112),"",TEXT(('Eid List Entry'!$H$3),"MM/DD/YY"))</f>
        <v/>
      </c>
      <c r="G112" s="104" t="str">
        <f>IF(ISBLANK('Eid List Entry'!C112),"",('Eid List Entry'!$H$5))</f>
        <v/>
      </c>
    </row>
    <row r="113" spans="1:7" x14ac:dyDescent="0.25">
      <c r="A113" s="104" t="str">
        <f>'Eid List Entry'!B113</f>
        <v xml:space="preserve"> </v>
      </c>
      <c r="B113" s="104" t="str">
        <f>IF(ISBLANK('Eid List Entry'!C113),"",('Eid List Entry'!C113))</f>
        <v/>
      </c>
      <c r="C113" s="104" t="str">
        <f>IF(ISBLANK('Eid List Entry'!D113),"",('Eid List Entry'!D113))</f>
        <v/>
      </c>
      <c r="D113" s="138" t="str">
        <f>IF(ISBLANK('Eid List Entry'!C113),"",('Eid List Entry'!$H$7))</f>
        <v/>
      </c>
      <c r="E113" s="129" t="str">
        <f>IF(ISBLANK('Eid List Entry'!C113),"",('Eid List Entry'!$H$8))</f>
        <v/>
      </c>
      <c r="F113" s="140" t="str">
        <f>IF(ISBLANK('Eid List Entry'!C113),"",TEXT(('Eid List Entry'!$H$3),"MM/DD/YY"))</f>
        <v/>
      </c>
      <c r="G113" s="104" t="str">
        <f>IF(ISBLANK('Eid List Entry'!C113),"",('Eid List Entry'!$H$5))</f>
        <v/>
      </c>
    </row>
    <row r="114" spans="1:7" x14ac:dyDescent="0.25">
      <c r="A114" s="104" t="str">
        <f>'Eid List Entry'!B114</f>
        <v xml:space="preserve"> </v>
      </c>
      <c r="B114" s="104" t="str">
        <f>IF(ISBLANK('Eid List Entry'!C114),"",('Eid List Entry'!C114))</f>
        <v/>
      </c>
      <c r="C114" s="104" t="str">
        <f>IF(ISBLANK('Eid List Entry'!D114),"",('Eid List Entry'!D114))</f>
        <v/>
      </c>
      <c r="D114" s="138" t="str">
        <f>IF(ISBLANK('Eid List Entry'!C114),"",('Eid List Entry'!$H$7))</f>
        <v/>
      </c>
      <c r="E114" s="129" t="str">
        <f>IF(ISBLANK('Eid List Entry'!C114),"",('Eid List Entry'!$H$8))</f>
        <v/>
      </c>
      <c r="F114" s="140" t="str">
        <f>IF(ISBLANK('Eid List Entry'!C114),"",TEXT(('Eid List Entry'!$H$3),"MM/DD/YY"))</f>
        <v/>
      </c>
      <c r="G114" s="104" t="str">
        <f>IF(ISBLANK('Eid List Entry'!C114),"",('Eid List Entry'!$H$5))</f>
        <v/>
      </c>
    </row>
    <row r="115" spans="1:7" x14ac:dyDescent="0.25">
      <c r="A115" s="104" t="str">
        <f>'Eid List Entry'!B115</f>
        <v xml:space="preserve"> </v>
      </c>
      <c r="B115" s="104" t="str">
        <f>IF(ISBLANK('Eid List Entry'!C115),"",('Eid List Entry'!C115))</f>
        <v/>
      </c>
      <c r="C115" s="104" t="str">
        <f>IF(ISBLANK('Eid List Entry'!D115),"",('Eid List Entry'!D115))</f>
        <v/>
      </c>
      <c r="D115" s="138" t="str">
        <f>IF(ISBLANK('Eid List Entry'!C115),"",('Eid List Entry'!$H$7))</f>
        <v/>
      </c>
      <c r="E115" s="129" t="str">
        <f>IF(ISBLANK('Eid List Entry'!C115),"",('Eid List Entry'!$H$8))</f>
        <v/>
      </c>
      <c r="F115" s="140" t="str">
        <f>IF(ISBLANK('Eid List Entry'!C115),"",TEXT(('Eid List Entry'!$H$3),"MM/DD/YY"))</f>
        <v/>
      </c>
      <c r="G115" s="104" t="str">
        <f>IF(ISBLANK('Eid List Entry'!C115),"",('Eid List Entry'!$H$5))</f>
        <v/>
      </c>
    </row>
    <row r="116" spans="1:7" x14ac:dyDescent="0.25">
      <c r="A116" s="104" t="str">
        <f>'Eid List Entry'!B116</f>
        <v xml:space="preserve"> </v>
      </c>
      <c r="B116" s="104" t="str">
        <f>IF(ISBLANK('Eid List Entry'!C116),"",('Eid List Entry'!C116))</f>
        <v/>
      </c>
      <c r="C116" s="104" t="str">
        <f>IF(ISBLANK('Eid List Entry'!D116),"",('Eid List Entry'!D116))</f>
        <v/>
      </c>
      <c r="D116" s="138" t="str">
        <f>IF(ISBLANK('Eid List Entry'!C116),"",('Eid List Entry'!$H$7))</f>
        <v/>
      </c>
      <c r="E116" s="129" t="str">
        <f>IF(ISBLANK('Eid List Entry'!C116),"",('Eid List Entry'!$H$8))</f>
        <v/>
      </c>
      <c r="F116" s="140" t="str">
        <f>IF(ISBLANK('Eid List Entry'!C116),"",TEXT(('Eid List Entry'!$H$3),"MM/DD/YY"))</f>
        <v/>
      </c>
      <c r="G116" s="104" t="str">
        <f>IF(ISBLANK('Eid List Entry'!C116),"",('Eid List Entry'!$H$5))</f>
        <v/>
      </c>
    </row>
    <row r="117" spans="1:7" x14ac:dyDescent="0.25">
      <c r="A117" s="104" t="str">
        <f>'Eid List Entry'!B117</f>
        <v xml:space="preserve"> </v>
      </c>
      <c r="B117" s="104" t="str">
        <f>IF(ISBLANK('Eid List Entry'!C117),"",('Eid List Entry'!C117))</f>
        <v/>
      </c>
      <c r="C117" s="104" t="str">
        <f>IF(ISBLANK('Eid List Entry'!D117),"",('Eid List Entry'!D117))</f>
        <v/>
      </c>
      <c r="D117" s="138" t="str">
        <f>IF(ISBLANK('Eid List Entry'!C117),"",('Eid List Entry'!$H$7))</f>
        <v/>
      </c>
      <c r="E117" s="129" t="str">
        <f>IF(ISBLANK('Eid List Entry'!C117),"",('Eid List Entry'!$H$8))</f>
        <v/>
      </c>
      <c r="F117" s="140" t="str">
        <f>IF(ISBLANK('Eid List Entry'!C117),"",TEXT(('Eid List Entry'!$H$3),"MM/DD/YY"))</f>
        <v/>
      </c>
      <c r="G117" s="104" t="str">
        <f>IF(ISBLANK('Eid List Entry'!C117),"",('Eid List Entry'!$H$5))</f>
        <v/>
      </c>
    </row>
    <row r="118" spans="1:7" x14ac:dyDescent="0.25">
      <c r="A118" s="104" t="str">
        <f>'Eid List Entry'!B118</f>
        <v xml:space="preserve"> </v>
      </c>
      <c r="B118" s="104" t="str">
        <f>IF(ISBLANK('Eid List Entry'!C118),"",('Eid List Entry'!C118))</f>
        <v/>
      </c>
      <c r="C118" s="104" t="str">
        <f>IF(ISBLANK('Eid List Entry'!D118),"",('Eid List Entry'!D118))</f>
        <v/>
      </c>
      <c r="D118" s="138" t="str">
        <f>IF(ISBLANK('Eid List Entry'!C118),"",('Eid List Entry'!$H$7))</f>
        <v/>
      </c>
      <c r="E118" s="129" t="str">
        <f>IF(ISBLANK('Eid List Entry'!C118),"",('Eid List Entry'!$H$8))</f>
        <v/>
      </c>
      <c r="F118" s="140" t="str">
        <f>IF(ISBLANK('Eid List Entry'!C118),"",TEXT(('Eid List Entry'!$H$3),"MM/DD/YY"))</f>
        <v/>
      </c>
      <c r="G118" s="104" t="str">
        <f>IF(ISBLANK('Eid List Entry'!C118),"",('Eid List Entry'!$H$5))</f>
        <v/>
      </c>
    </row>
    <row r="119" spans="1:7" x14ac:dyDescent="0.25">
      <c r="A119" s="104" t="str">
        <f>'Eid List Entry'!B119</f>
        <v xml:space="preserve"> </v>
      </c>
      <c r="B119" s="104" t="str">
        <f>IF(ISBLANK('Eid List Entry'!C119),"",('Eid List Entry'!C119))</f>
        <v/>
      </c>
      <c r="C119" s="104" t="str">
        <f>IF(ISBLANK('Eid List Entry'!D119),"",('Eid List Entry'!D119))</f>
        <v/>
      </c>
      <c r="D119" s="138" t="str">
        <f>IF(ISBLANK('Eid List Entry'!C119),"",('Eid List Entry'!$H$7))</f>
        <v/>
      </c>
      <c r="E119" s="129" t="str">
        <f>IF(ISBLANK('Eid List Entry'!C119),"",('Eid List Entry'!$H$8))</f>
        <v/>
      </c>
      <c r="F119" s="140" t="str">
        <f>IF(ISBLANK('Eid List Entry'!C119),"",TEXT(('Eid List Entry'!$H$3),"MM/DD/YY"))</f>
        <v/>
      </c>
      <c r="G119" s="104" t="str">
        <f>IF(ISBLANK('Eid List Entry'!C119),"",('Eid List Entry'!$H$5))</f>
        <v/>
      </c>
    </row>
    <row r="120" spans="1:7" x14ac:dyDescent="0.25">
      <c r="A120" s="104" t="str">
        <f>'Eid List Entry'!B120</f>
        <v xml:space="preserve"> </v>
      </c>
      <c r="B120" s="104" t="str">
        <f>IF(ISBLANK('Eid List Entry'!C120),"",('Eid List Entry'!C120))</f>
        <v/>
      </c>
      <c r="C120" s="104" t="str">
        <f>IF(ISBLANK('Eid List Entry'!D120),"",('Eid List Entry'!D120))</f>
        <v/>
      </c>
      <c r="D120" s="138" t="str">
        <f>IF(ISBLANK('Eid List Entry'!C120),"",('Eid List Entry'!$H$7))</f>
        <v/>
      </c>
      <c r="E120" s="129" t="str">
        <f>IF(ISBLANK('Eid List Entry'!C120),"",('Eid List Entry'!$H$8))</f>
        <v/>
      </c>
      <c r="F120" s="140" t="str">
        <f>IF(ISBLANK('Eid List Entry'!C120),"",TEXT(('Eid List Entry'!$H$3),"MM/DD/YY"))</f>
        <v/>
      </c>
      <c r="G120" s="104" t="str">
        <f>IF(ISBLANK('Eid List Entry'!C120),"",('Eid List Entry'!$H$5))</f>
        <v/>
      </c>
    </row>
    <row r="121" spans="1:7" x14ac:dyDescent="0.25">
      <c r="A121" s="104" t="str">
        <f>'Eid List Entry'!B121</f>
        <v xml:space="preserve"> </v>
      </c>
      <c r="B121" s="104" t="str">
        <f>IF(ISBLANK('Eid List Entry'!C121),"",('Eid List Entry'!C121))</f>
        <v/>
      </c>
      <c r="C121" s="104" t="str">
        <f>IF(ISBLANK('Eid List Entry'!D121),"",('Eid List Entry'!D121))</f>
        <v/>
      </c>
      <c r="D121" s="138" t="str">
        <f>IF(ISBLANK('Eid List Entry'!C121),"",('Eid List Entry'!$H$7))</f>
        <v/>
      </c>
      <c r="E121" s="129" t="str">
        <f>IF(ISBLANK('Eid List Entry'!C121),"",('Eid List Entry'!$H$8))</f>
        <v/>
      </c>
      <c r="F121" s="140" t="str">
        <f>IF(ISBLANK('Eid List Entry'!C121),"",TEXT(('Eid List Entry'!$H$3),"MM/DD/YY"))</f>
        <v/>
      </c>
      <c r="G121" s="104" t="str">
        <f>IF(ISBLANK('Eid List Entry'!C121),"",('Eid List Entry'!$H$5))</f>
        <v/>
      </c>
    </row>
    <row r="122" spans="1:7" x14ac:dyDescent="0.25">
      <c r="A122" s="104" t="str">
        <f>'Eid List Entry'!B122</f>
        <v xml:space="preserve"> </v>
      </c>
      <c r="B122" s="104" t="str">
        <f>IF(ISBLANK('Eid List Entry'!C122),"",('Eid List Entry'!C122))</f>
        <v/>
      </c>
      <c r="C122" s="104" t="str">
        <f>IF(ISBLANK('Eid List Entry'!D122),"",('Eid List Entry'!D122))</f>
        <v/>
      </c>
      <c r="D122" s="138" t="str">
        <f>IF(ISBLANK('Eid List Entry'!C122),"",('Eid List Entry'!$H$7))</f>
        <v/>
      </c>
      <c r="E122" s="129" t="str">
        <f>IF(ISBLANK('Eid List Entry'!C122),"",('Eid List Entry'!$H$8))</f>
        <v/>
      </c>
      <c r="F122" s="140" t="str">
        <f>IF(ISBLANK('Eid List Entry'!C122),"",TEXT(('Eid List Entry'!$H$3),"MM/DD/YY"))</f>
        <v/>
      </c>
      <c r="G122" s="104" t="str">
        <f>IF(ISBLANK('Eid List Entry'!C122),"",('Eid List Entry'!$H$5))</f>
        <v/>
      </c>
    </row>
    <row r="123" spans="1:7" x14ac:dyDescent="0.25">
      <c r="A123" s="104" t="str">
        <f>'Eid List Entry'!B123</f>
        <v xml:space="preserve"> </v>
      </c>
      <c r="B123" s="104" t="str">
        <f>IF(ISBLANK('Eid List Entry'!C123),"",('Eid List Entry'!C123))</f>
        <v/>
      </c>
      <c r="C123" s="104" t="str">
        <f>IF(ISBLANK('Eid List Entry'!D123),"",('Eid List Entry'!D123))</f>
        <v/>
      </c>
      <c r="D123" s="138" t="str">
        <f>IF(ISBLANK('Eid List Entry'!C123),"",('Eid List Entry'!$H$7))</f>
        <v/>
      </c>
      <c r="E123" s="129" t="str">
        <f>IF(ISBLANK('Eid List Entry'!C123),"",('Eid List Entry'!$H$8))</f>
        <v/>
      </c>
      <c r="F123" s="140" t="str">
        <f>IF(ISBLANK('Eid List Entry'!C123),"",TEXT(('Eid List Entry'!$H$3),"MM/DD/YY"))</f>
        <v/>
      </c>
      <c r="G123" s="104" t="str">
        <f>IF(ISBLANK('Eid List Entry'!C123),"",('Eid List Entry'!$H$5))</f>
        <v/>
      </c>
    </row>
    <row r="124" spans="1:7" x14ac:dyDescent="0.25">
      <c r="A124" s="104" t="str">
        <f>'Eid List Entry'!B124</f>
        <v xml:space="preserve"> </v>
      </c>
      <c r="B124" s="104" t="str">
        <f>IF(ISBLANK('Eid List Entry'!C124),"",('Eid List Entry'!C124))</f>
        <v/>
      </c>
      <c r="C124" s="104" t="str">
        <f>IF(ISBLANK('Eid List Entry'!D124),"",('Eid List Entry'!D124))</f>
        <v/>
      </c>
      <c r="D124" s="138" t="str">
        <f>IF(ISBLANK('Eid List Entry'!C124),"",('Eid List Entry'!$H$7))</f>
        <v/>
      </c>
      <c r="E124" s="129" t="str">
        <f>IF(ISBLANK('Eid List Entry'!C124),"",('Eid List Entry'!$H$8))</f>
        <v/>
      </c>
      <c r="F124" s="140" t="str">
        <f>IF(ISBLANK('Eid List Entry'!C124),"",TEXT(('Eid List Entry'!$H$3),"MM/DD/YY"))</f>
        <v/>
      </c>
      <c r="G124" s="104" t="str">
        <f>IF(ISBLANK('Eid List Entry'!C124),"",('Eid List Entry'!$H$5))</f>
        <v/>
      </c>
    </row>
    <row r="125" spans="1:7" x14ac:dyDescent="0.25">
      <c r="A125" s="104" t="str">
        <f>'Eid List Entry'!B125</f>
        <v xml:space="preserve"> </v>
      </c>
      <c r="B125" s="104" t="str">
        <f>IF(ISBLANK('Eid List Entry'!C125),"",('Eid List Entry'!C125))</f>
        <v/>
      </c>
      <c r="C125" s="104" t="str">
        <f>IF(ISBLANK('Eid List Entry'!D125),"",('Eid List Entry'!D125))</f>
        <v/>
      </c>
      <c r="D125" s="138" t="str">
        <f>IF(ISBLANK('Eid List Entry'!C125),"",('Eid List Entry'!$H$7))</f>
        <v/>
      </c>
      <c r="E125" s="129" t="str">
        <f>IF(ISBLANK('Eid List Entry'!C125),"",('Eid List Entry'!$H$8))</f>
        <v/>
      </c>
      <c r="F125" s="140" t="str">
        <f>IF(ISBLANK('Eid List Entry'!C125),"",TEXT(('Eid List Entry'!$H$3),"MM/DD/YY"))</f>
        <v/>
      </c>
      <c r="G125" s="104" t="str">
        <f>IF(ISBLANK('Eid List Entry'!C125),"",('Eid List Entry'!$H$5))</f>
        <v/>
      </c>
    </row>
    <row r="126" spans="1:7" x14ac:dyDescent="0.25">
      <c r="A126" s="104" t="str">
        <f>'Eid List Entry'!B126</f>
        <v xml:space="preserve"> </v>
      </c>
      <c r="B126" s="104" t="str">
        <f>IF(ISBLANK('Eid List Entry'!C126),"",('Eid List Entry'!C126))</f>
        <v/>
      </c>
      <c r="C126" s="104" t="str">
        <f>IF(ISBLANK('Eid List Entry'!D126),"",('Eid List Entry'!D126))</f>
        <v/>
      </c>
      <c r="D126" s="138" t="str">
        <f>IF(ISBLANK('Eid List Entry'!C126),"",('Eid List Entry'!$H$7))</f>
        <v/>
      </c>
      <c r="E126" s="129" t="str">
        <f>IF(ISBLANK('Eid List Entry'!C126),"",('Eid List Entry'!$H$8))</f>
        <v/>
      </c>
      <c r="F126" s="140" t="str">
        <f>IF(ISBLANK('Eid List Entry'!C126),"",TEXT(('Eid List Entry'!$H$3),"MM/DD/YY"))</f>
        <v/>
      </c>
      <c r="G126" s="104" t="str">
        <f>IF(ISBLANK('Eid List Entry'!C126),"",('Eid List Entry'!$H$5))</f>
        <v/>
      </c>
    </row>
    <row r="127" spans="1:7" x14ac:dyDescent="0.25">
      <c r="A127" s="104" t="str">
        <f>'Eid List Entry'!B127</f>
        <v xml:space="preserve"> </v>
      </c>
      <c r="B127" s="104" t="str">
        <f>IF(ISBLANK('Eid List Entry'!C127),"",('Eid List Entry'!C127))</f>
        <v/>
      </c>
      <c r="C127" s="104" t="str">
        <f>IF(ISBLANK('Eid List Entry'!D127),"",('Eid List Entry'!D127))</f>
        <v/>
      </c>
      <c r="D127" s="138" t="str">
        <f>IF(ISBLANK('Eid List Entry'!C127),"",('Eid List Entry'!$H$7))</f>
        <v/>
      </c>
      <c r="E127" s="129" t="str">
        <f>IF(ISBLANK('Eid List Entry'!C127),"",('Eid List Entry'!$H$8))</f>
        <v/>
      </c>
      <c r="F127" s="140" t="str">
        <f>IF(ISBLANK('Eid List Entry'!C127),"",TEXT(('Eid List Entry'!$H$3),"MM/DD/YY"))</f>
        <v/>
      </c>
      <c r="G127" s="104" t="str">
        <f>IF(ISBLANK('Eid List Entry'!C127),"",('Eid List Entry'!$H$5))</f>
        <v/>
      </c>
    </row>
    <row r="128" spans="1:7" x14ac:dyDescent="0.25">
      <c r="A128" s="104" t="str">
        <f>'Eid List Entry'!B128</f>
        <v xml:space="preserve"> </v>
      </c>
      <c r="B128" s="104" t="str">
        <f>IF(ISBLANK('Eid List Entry'!C128),"",('Eid List Entry'!C128))</f>
        <v/>
      </c>
      <c r="C128" s="104" t="str">
        <f>IF(ISBLANK('Eid List Entry'!D128),"",('Eid List Entry'!D128))</f>
        <v/>
      </c>
      <c r="D128" s="138" t="str">
        <f>IF(ISBLANK('Eid List Entry'!C128),"",('Eid List Entry'!$H$7))</f>
        <v/>
      </c>
      <c r="E128" s="129" t="str">
        <f>IF(ISBLANK('Eid List Entry'!C128),"",('Eid List Entry'!$H$8))</f>
        <v/>
      </c>
      <c r="F128" s="140" t="str">
        <f>IF(ISBLANK('Eid List Entry'!C128),"",TEXT(('Eid List Entry'!$H$3),"MM/DD/YY"))</f>
        <v/>
      </c>
      <c r="G128" s="104" t="str">
        <f>IF(ISBLANK('Eid List Entry'!C128),"",('Eid List Entry'!$H$5))</f>
        <v/>
      </c>
    </row>
    <row r="129" spans="1:7" x14ac:dyDescent="0.25">
      <c r="A129" s="104" t="str">
        <f>'Eid List Entry'!B129</f>
        <v xml:space="preserve"> </v>
      </c>
      <c r="B129" s="104" t="str">
        <f>IF(ISBLANK('Eid List Entry'!C129),"",('Eid List Entry'!C129))</f>
        <v/>
      </c>
      <c r="C129" s="104" t="str">
        <f>IF(ISBLANK('Eid List Entry'!D129),"",('Eid List Entry'!D129))</f>
        <v/>
      </c>
      <c r="D129" s="138" t="str">
        <f>IF(ISBLANK('Eid List Entry'!C129),"",('Eid List Entry'!$H$7))</f>
        <v/>
      </c>
      <c r="E129" s="129" t="str">
        <f>IF(ISBLANK('Eid List Entry'!C129),"",('Eid List Entry'!$H$8))</f>
        <v/>
      </c>
      <c r="F129" s="140" t="str">
        <f>IF(ISBLANK('Eid List Entry'!C129),"",TEXT(('Eid List Entry'!$H$3),"MM/DD/YY"))</f>
        <v/>
      </c>
      <c r="G129" s="104" t="str">
        <f>IF(ISBLANK('Eid List Entry'!C129),"",('Eid List Entry'!$H$5))</f>
        <v/>
      </c>
    </row>
    <row r="130" spans="1:7" x14ac:dyDescent="0.25">
      <c r="A130" s="104" t="str">
        <f>'Eid List Entry'!B130</f>
        <v xml:space="preserve"> </v>
      </c>
      <c r="B130" s="104" t="str">
        <f>IF(ISBLANK('Eid List Entry'!C130),"",('Eid List Entry'!C130))</f>
        <v/>
      </c>
      <c r="C130" s="104" t="str">
        <f>IF(ISBLANK('Eid List Entry'!D130),"",('Eid List Entry'!D130))</f>
        <v/>
      </c>
      <c r="D130" s="138" t="str">
        <f>IF(ISBLANK('Eid List Entry'!C130),"",('Eid List Entry'!$H$7))</f>
        <v/>
      </c>
      <c r="E130" s="129" t="str">
        <f>IF(ISBLANK('Eid List Entry'!C130),"",('Eid List Entry'!$H$8))</f>
        <v/>
      </c>
      <c r="F130" s="140" t="str">
        <f>IF(ISBLANK('Eid List Entry'!C130),"",TEXT(('Eid List Entry'!$H$3),"MM/DD/YY"))</f>
        <v/>
      </c>
      <c r="G130" s="104" t="str">
        <f>IF(ISBLANK('Eid List Entry'!C130),"",('Eid List Entry'!$H$5))</f>
        <v/>
      </c>
    </row>
    <row r="131" spans="1:7" x14ac:dyDescent="0.25">
      <c r="A131" s="104" t="str">
        <f>'Eid List Entry'!B131</f>
        <v xml:space="preserve"> </v>
      </c>
      <c r="B131" s="104" t="str">
        <f>IF(ISBLANK('Eid List Entry'!C131),"",('Eid List Entry'!C131))</f>
        <v/>
      </c>
      <c r="C131" s="104" t="str">
        <f>IF(ISBLANK('Eid List Entry'!D131),"",('Eid List Entry'!D131))</f>
        <v/>
      </c>
      <c r="D131" s="138" t="str">
        <f>IF(ISBLANK('Eid List Entry'!C131),"",('Eid List Entry'!$H$7))</f>
        <v/>
      </c>
      <c r="E131" s="129" t="str">
        <f>IF(ISBLANK('Eid List Entry'!C131),"",('Eid List Entry'!$H$8))</f>
        <v/>
      </c>
      <c r="F131" s="140" t="str">
        <f>IF(ISBLANK('Eid List Entry'!C131),"",TEXT(('Eid List Entry'!$H$3),"MM/DD/YY"))</f>
        <v/>
      </c>
      <c r="G131" s="104" t="str">
        <f>IF(ISBLANK('Eid List Entry'!C131),"",('Eid List Entry'!$H$5))</f>
        <v/>
      </c>
    </row>
    <row r="132" spans="1:7" x14ac:dyDescent="0.25">
      <c r="A132" s="104" t="str">
        <f>'Eid List Entry'!B132</f>
        <v xml:space="preserve"> </v>
      </c>
      <c r="B132" s="104" t="str">
        <f>IF(ISBLANK('Eid List Entry'!C132),"",('Eid List Entry'!C132))</f>
        <v/>
      </c>
      <c r="C132" s="104" t="str">
        <f>IF(ISBLANK('Eid List Entry'!D132),"",('Eid List Entry'!D132))</f>
        <v/>
      </c>
      <c r="D132" s="138" t="str">
        <f>IF(ISBLANK('Eid List Entry'!C132),"",('Eid List Entry'!$H$7))</f>
        <v/>
      </c>
      <c r="E132" s="129" t="str">
        <f>IF(ISBLANK('Eid List Entry'!C132),"",('Eid List Entry'!$H$8))</f>
        <v/>
      </c>
      <c r="F132" s="140" t="str">
        <f>IF(ISBLANK('Eid List Entry'!C132),"",TEXT(('Eid List Entry'!$H$3),"MM/DD/YY"))</f>
        <v/>
      </c>
      <c r="G132" s="104" t="str">
        <f>IF(ISBLANK('Eid List Entry'!C132),"",('Eid List Entry'!$H$5))</f>
        <v/>
      </c>
    </row>
    <row r="133" spans="1:7" x14ac:dyDescent="0.25">
      <c r="A133" s="104" t="str">
        <f>'Eid List Entry'!B133</f>
        <v xml:space="preserve"> </v>
      </c>
      <c r="B133" s="104" t="str">
        <f>IF(ISBLANK('Eid List Entry'!C133),"",('Eid List Entry'!C133))</f>
        <v/>
      </c>
      <c r="C133" s="104" t="str">
        <f>IF(ISBLANK('Eid List Entry'!D133),"",('Eid List Entry'!D133))</f>
        <v/>
      </c>
      <c r="D133" s="138" t="str">
        <f>IF(ISBLANK('Eid List Entry'!C133),"",('Eid List Entry'!$H$7))</f>
        <v/>
      </c>
      <c r="E133" s="129" t="str">
        <f>IF(ISBLANK('Eid List Entry'!C133),"",('Eid List Entry'!$H$8))</f>
        <v/>
      </c>
      <c r="F133" s="140" t="str">
        <f>IF(ISBLANK('Eid List Entry'!C133),"",TEXT(('Eid List Entry'!$H$3),"MM/DD/YY"))</f>
        <v/>
      </c>
      <c r="G133" s="104" t="str">
        <f>IF(ISBLANK('Eid List Entry'!C133),"",('Eid List Entry'!$H$5))</f>
        <v/>
      </c>
    </row>
    <row r="134" spans="1:7" x14ac:dyDescent="0.25">
      <c r="A134" s="104" t="str">
        <f>'Eid List Entry'!B134</f>
        <v xml:space="preserve"> </v>
      </c>
      <c r="B134" s="104" t="str">
        <f>IF(ISBLANK('Eid List Entry'!C134),"",('Eid List Entry'!C134))</f>
        <v/>
      </c>
      <c r="C134" s="104" t="str">
        <f>IF(ISBLANK('Eid List Entry'!D134),"",('Eid List Entry'!D134))</f>
        <v/>
      </c>
      <c r="D134" s="138" t="str">
        <f>IF(ISBLANK('Eid List Entry'!C134),"",('Eid List Entry'!$H$7))</f>
        <v/>
      </c>
      <c r="E134" s="129" t="str">
        <f>IF(ISBLANK('Eid List Entry'!C134),"",('Eid List Entry'!$H$8))</f>
        <v/>
      </c>
      <c r="F134" s="140" t="str">
        <f>IF(ISBLANK('Eid List Entry'!C134),"",TEXT(('Eid List Entry'!$H$3),"MM/DD/YY"))</f>
        <v/>
      </c>
      <c r="G134" s="104" t="str">
        <f>IF(ISBLANK('Eid List Entry'!C134),"",('Eid List Entry'!$H$5))</f>
        <v/>
      </c>
    </row>
    <row r="135" spans="1:7" x14ac:dyDescent="0.25">
      <c r="A135" s="104" t="str">
        <f>'Eid List Entry'!B135</f>
        <v xml:space="preserve"> </v>
      </c>
      <c r="B135" s="104" t="str">
        <f>IF(ISBLANK('Eid List Entry'!C135),"",('Eid List Entry'!C135))</f>
        <v/>
      </c>
      <c r="C135" s="104" t="str">
        <f>IF(ISBLANK('Eid List Entry'!D135),"",('Eid List Entry'!D135))</f>
        <v/>
      </c>
      <c r="D135" s="138" t="str">
        <f>IF(ISBLANK('Eid List Entry'!C135),"",('Eid List Entry'!$H$7))</f>
        <v/>
      </c>
      <c r="E135" s="129" t="str">
        <f>IF(ISBLANK('Eid List Entry'!C135),"",('Eid List Entry'!$H$8))</f>
        <v/>
      </c>
      <c r="F135" s="140" t="str">
        <f>IF(ISBLANK('Eid List Entry'!C135),"",TEXT(('Eid List Entry'!$H$3),"MM/DD/YY"))</f>
        <v/>
      </c>
      <c r="G135" s="104" t="str">
        <f>IF(ISBLANK('Eid List Entry'!C135),"",('Eid List Entry'!$H$5))</f>
        <v/>
      </c>
    </row>
    <row r="136" spans="1:7" x14ac:dyDescent="0.25">
      <c r="A136" s="104" t="str">
        <f>'Eid List Entry'!B136</f>
        <v xml:space="preserve"> </v>
      </c>
      <c r="B136" s="104" t="str">
        <f>IF(ISBLANK('Eid List Entry'!C136),"",('Eid List Entry'!C136))</f>
        <v/>
      </c>
      <c r="C136" s="104" t="str">
        <f>IF(ISBLANK('Eid List Entry'!D136),"",('Eid List Entry'!D136))</f>
        <v/>
      </c>
      <c r="D136" s="138" t="str">
        <f>IF(ISBLANK('Eid List Entry'!C136),"",('Eid List Entry'!$H$7))</f>
        <v/>
      </c>
      <c r="E136" s="129" t="str">
        <f>IF(ISBLANK('Eid List Entry'!C136),"",('Eid List Entry'!$H$8))</f>
        <v/>
      </c>
      <c r="F136" s="140" t="str">
        <f>IF(ISBLANK('Eid List Entry'!C136),"",TEXT(('Eid List Entry'!$H$3),"MM/DD/YY"))</f>
        <v/>
      </c>
      <c r="G136" s="104" t="str">
        <f>IF(ISBLANK('Eid List Entry'!C136),"",('Eid List Entry'!$H$5))</f>
        <v/>
      </c>
    </row>
    <row r="137" spans="1:7" x14ac:dyDescent="0.25">
      <c r="A137" s="104" t="str">
        <f>'Eid List Entry'!B137</f>
        <v xml:space="preserve"> </v>
      </c>
      <c r="B137" s="104" t="str">
        <f>IF(ISBLANK('Eid List Entry'!C137),"",('Eid List Entry'!C137))</f>
        <v/>
      </c>
      <c r="C137" s="104" t="str">
        <f>IF(ISBLANK('Eid List Entry'!D137),"",('Eid List Entry'!D137))</f>
        <v/>
      </c>
      <c r="D137" s="138" t="str">
        <f>IF(ISBLANK('Eid List Entry'!C137),"",('Eid List Entry'!$H$7))</f>
        <v/>
      </c>
      <c r="E137" s="129" t="str">
        <f>IF(ISBLANK('Eid List Entry'!C137),"",('Eid List Entry'!$H$8))</f>
        <v/>
      </c>
      <c r="F137" s="140" t="str">
        <f>IF(ISBLANK('Eid List Entry'!C137),"",TEXT(('Eid List Entry'!$H$3),"MM/DD/YY"))</f>
        <v/>
      </c>
      <c r="G137" s="104" t="str">
        <f>IF(ISBLANK('Eid List Entry'!C137),"",('Eid List Entry'!$H$5))</f>
        <v/>
      </c>
    </row>
    <row r="138" spans="1:7" x14ac:dyDescent="0.25">
      <c r="A138" s="104" t="str">
        <f>'Eid List Entry'!B138</f>
        <v xml:space="preserve"> </v>
      </c>
      <c r="B138" s="104" t="str">
        <f>IF(ISBLANK('Eid List Entry'!C138),"",('Eid List Entry'!C138))</f>
        <v/>
      </c>
      <c r="C138" s="104" t="str">
        <f>IF(ISBLANK('Eid List Entry'!D138),"",('Eid List Entry'!D138))</f>
        <v/>
      </c>
      <c r="D138" s="138" t="str">
        <f>IF(ISBLANK('Eid List Entry'!C138),"",('Eid List Entry'!$H$7))</f>
        <v/>
      </c>
      <c r="E138" s="129" t="str">
        <f>IF(ISBLANK('Eid List Entry'!C138),"",('Eid List Entry'!$H$8))</f>
        <v/>
      </c>
      <c r="F138" s="140" t="str">
        <f>IF(ISBLANK('Eid List Entry'!C138),"",TEXT(('Eid List Entry'!$H$3),"MM/DD/YY"))</f>
        <v/>
      </c>
      <c r="G138" s="104" t="str">
        <f>IF(ISBLANK('Eid List Entry'!C138),"",('Eid List Entry'!$H$5))</f>
        <v/>
      </c>
    </row>
    <row r="139" spans="1:7" x14ac:dyDescent="0.25">
      <c r="A139" s="104" t="str">
        <f>'Eid List Entry'!B139</f>
        <v xml:space="preserve"> </v>
      </c>
      <c r="B139" s="104" t="str">
        <f>IF(ISBLANK('Eid List Entry'!C139),"",('Eid List Entry'!C139))</f>
        <v/>
      </c>
      <c r="C139" s="104" t="str">
        <f>IF(ISBLANK('Eid List Entry'!D139),"",('Eid List Entry'!D139))</f>
        <v/>
      </c>
      <c r="D139" s="138" t="str">
        <f>IF(ISBLANK('Eid List Entry'!C139),"",('Eid List Entry'!$H$7))</f>
        <v/>
      </c>
      <c r="E139" s="129" t="str">
        <f>IF(ISBLANK('Eid List Entry'!C139),"",('Eid List Entry'!$H$8))</f>
        <v/>
      </c>
      <c r="F139" s="140" t="str">
        <f>IF(ISBLANK('Eid List Entry'!C139),"",TEXT(('Eid List Entry'!$H$3),"MM/DD/YY"))</f>
        <v/>
      </c>
      <c r="G139" s="104" t="str">
        <f>IF(ISBLANK('Eid List Entry'!C139),"",('Eid List Entry'!$H$5))</f>
        <v/>
      </c>
    </row>
    <row r="140" spans="1:7" x14ac:dyDescent="0.25">
      <c r="A140" s="104" t="str">
        <f>'Eid List Entry'!B140</f>
        <v xml:space="preserve"> </v>
      </c>
      <c r="B140" s="104" t="str">
        <f>IF(ISBLANK('Eid List Entry'!C140),"",('Eid List Entry'!C140))</f>
        <v/>
      </c>
      <c r="C140" s="104" t="str">
        <f>IF(ISBLANK('Eid List Entry'!D140),"",('Eid List Entry'!D140))</f>
        <v/>
      </c>
      <c r="D140" s="138" t="str">
        <f>IF(ISBLANK('Eid List Entry'!C140),"",('Eid List Entry'!$H$7))</f>
        <v/>
      </c>
      <c r="E140" s="129" t="str">
        <f>IF(ISBLANK('Eid List Entry'!C140),"",('Eid List Entry'!$H$8))</f>
        <v/>
      </c>
      <c r="F140" s="140" t="str">
        <f>IF(ISBLANK('Eid List Entry'!C140),"",TEXT(('Eid List Entry'!$H$3),"MM/DD/YY"))</f>
        <v/>
      </c>
      <c r="G140" s="104" t="str">
        <f>IF(ISBLANK('Eid List Entry'!C140),"",('Eid List Entry'!$H$5))</f>
        <v/>
      </c>
    </row>
    <row r="141" spans="1:7" x14ac:dyDescent="0.25">
      <c r="A141" s="104" t="str">
        <f>'Eid List Entry'!B141</f>
        <v xml:space="preserve"> </v>
      </c>
      <c r="B141" s="104" t="str">
        <f>IF(ISBLANK('Eid List Entry'!C141),"",('Eid List Entry'!C141))</f>
        <v/>
      </c>
      <c r="C141" s="104" t="str">
        <f>IF(ISBLANK('Eid List Entry'!D141),"",('Eid List Entry'!D141))</f>
        <v/>
      </c>
      <c r="D141" s="138" t="str">
        <f>IF(ISBLANK('Eid List Entry'!C141),"",('Eid List Entry'!$H$7))</f>
        <v/>
      </c>
      <c r="E141" s="129" t="str">
        <f>IF(ISBLANK('Eid List Entry'!C141),"",('Eid List Entry'!$H$8))</f>
        <v/>
      </c>
      <c r="F141" s="140" t="str">
        <f>IF(ISBLANK('Eid List Entry'!C141),"",TEXT(('Eid List Entry'!$H$3),"MM/DD/YY"))</f>
        <v/>
      </c>
      <c r="G141" s="104" t="str">
        <f>IF(ISBLANK('Eid List Entry'!C141),"",('Eid List Entry'!$H$5))</f>
        <v/>
      </c>
    </row>
    <row r="142" spans="1:7" x14ac:dyDescent="0.25">
      <c r="A142" s="104" t="str">
        <f>'Eid List Entry'!B142</f>
        <v xml:space="preserve"> </v>
      </c>
      <c r="B142" s="104" t="str">
        <f>IF(ISBLANK('Eid List Entry'!C142),"",('Eid List Entry'!C142))</f>
        <v/>
      </c>
      <c r="C142" s="104" t="str">
        <f>IF(ISBLANK('Eid List Entry'!D142),"",('Eid List Entry'!D142))</f>
        <v/>
      </c>
      <c r="D142" s="138" t="str">
        <f>IF(ISBLANK('Eid List Entry'!C142),"",('Eid List Entry'!$H$7))</f>
        <v/>
      </c>
      <c r="E142" s="129" t="str">
        <f>IF(ISBLANK('Eid List Entry'!C142),"",('Eid List Entry'!$H$8))</f>
        <v/>
      </c>
      <c r="F142" s="140" t="str">
        <f>IF(ISBLANK('Eid List Entry'!C142),"",TEXT(('Eid List Entry'!$H$3),"MM/DD/YY"))</f>
        <v/>
      </c>
      <c r="G142" s="104" t="str">
        <f>IF(ISBLANK('Eid List Entry'!C142),"",('Eid List Entry'!$H$5))</f>
        <v/>
      </c>
    </row>
    <row r="143" spans="1:7" x14ac:dyDescent="0.25">
      <c r="A143" s="104" t="str">
        <f>'Eid List Entry'!B143</f>
        <v xml:space="preserve"> </v>
      </c>
      <c r="B143" s="104" t="str">
        <f>IF(ISBLANK('Eid List Entry'!C143),"",('Eid List Entry'!C143))</f>
        <v/>
      </c>
      <c r="C143" s="104" t="str">
        <f>IF(ISBLANK('Eid List Entry'!D143),"",('Eid List Entry'!D143))</f>
        <v/>
      </c>
      <c r="D143" s="138" t="str">
        <f>IF(ISBLANK('Eid List Entry'!C143),"",('Eid List Entry'!$H$7))</f>
        <v/>
      </c>
      <c r="E143" s="129" t="str">
        <f>IF(ISBLANK('Eid List Entry'!C143),"",('Eid List Entry'!$H$8))</f>
        <v/>
      </c>
      <c r="F143" s="140" t="str">
        <f>IF(ISBLANK('Eid List Entry'!C143),"",TEXT(('Eid List Entry'!$H$3),"MM/DD/YY"))</f>
        <v/>
      </c>
      <c r="G143" s="104" t="str">
        <f>IF(ISBLANK('Eid List Entry'!C143),"",('Eid List Entry'!$H$5))</f>
        <v/>
      </c>
    </row>
    <row r="144" spans="1:7" x14ac:dyDescent="0.25">
      <c r="A144" s="104" t="str">
        <f>'Eid List Entry'!B144</f>
        <v xml:space="preserve"> </v>
      </c>
      <c r="B144" s="104" t="str">
        <f>IF(ISBLANK('Eid List Entry'!C144),"",('Eid List Entry'!C144))</f>
        <v/>
      </c>
      <c r="C144" s="104" t="str">
        <f>IF(ISBLANK('Eid List Entry'!D144),"",('Eid List Entry'!D144))</f>
        <v/>
      </c>
      <c r="D144" s="138" t="str">
        <f>IF(ISBLANK('Eid List Entry'!C144),"",('Eid List Entry'!$H$7))</f>
        <v/>
      </c>
      <c r="E144" s="129" t="str">
        <f>IF(ISBLANK('Eid List Entry'!C144),"",('Eid List Entry'!$H$8))</f>
        <v/>
      </c>
      <c r="F144" s="140" t="str">
        <f>IF(ISBLANK('Eid List Entry'!C144),"",TEXT(('Eid List Entry'!$H$3),"MM/DD/YY"))</f>
        <v/>
      </c>
      <c r="G144" s="104" t="str">
        <f>IF(ISBLANK('Eid List Entry'!C144),"",('Eid List Entry'!$H$5))</f>
        <v/>
      </c>
    </row>
    <row r="145" spans="1:7" x14ac:dyDescent="0.25">
      <c r="A145" s="104" t="str">
        <f>'Eid List Entry'!B145</f>
        <v xml:space="preserve"> </v>
      </c>
      <c r="B145" s="104" t="str">
        <f>IF(ISBLANK('Eid List Entry'!C145),"",('Eid List Entry'!C145))</f>
        <v/>
      </c>
      <c r="C145" s="104" t="str">
        <f>IF(ISBLANK('Eid List Entry'!D145),"",('Eid List Entry'!D145))</f>
        <v/>
      </c>
      <c r="D145" s="138" t="str">
        <f>IF(ISBLANK('Eid List Entry'!C145),"",('Eid List Entry'!$H$7))</f>
        <v/>
      </c>
      <c r="E145" s="129" t="str">
        <f>IF(ISBLANK('Eid List Entry'!C145),"",('Eid List Entry'!$H$8))</f>
        <v/>
      </c>
      <c r="F145" s="140" t="str">
        <f>IF(ISBLANK('Eid List Entry'!C145),"",TEXT(('Eid List Entry'!$H$3),"MM/DD/YY"))</f>
        <v/>
      </c>
      <c r="G145" s="104" t="str">
        <f>IF(ISBLANK('Eid List Entry'!C145),"",('Eid List Entry'!$H$5))</f>
        <v/>
      </c>
    </row>
    <row r="146" spans="1:7" x14ac:dyDescent="0.25">
      <c r="A146" s="104" t="str">
        <f>'Eid List Entry'!B146</f>
        <v xml:space="preserve"> </v>
      </c>
      <c r="B146" s="104" t="str">
        <f>IF(ISBLANK('Eid List Entry'!C146),"",('Eid List Entry'!C146))</f>
        <v/>
      </c>
      <c r="C146" s="104" t="str">
        <f>IF(ISBLANK('Eid List Entry'!D146),"",('Eid List Entry'!D146))</f>
        <v/>
      </c>
      <c r="D146" s="138" t="str">
        <f>IF(ISBLANK('Eid List Entry'!C146),"",('Eid List Entry'!$H$7))</f>
        <v/>
      </c>
      <c r="E146" s="129" t="str">
        <f>IF(ISBLANK('Eid List Entry'!C146),"",('Eid List Entry'!$H$8))</f>
        <v/>
      </c>
      <c r="F146" s="140" t="str">
        <f>IF(ISBLANK('Eid List Entry'!C146),"",TEXT(('Eid List Entry'!$H$3),"MM/DD/YY"))</f>
        <v/>
      </c>
      <c r="G146" s="104" t="str">
        <f>IF(ISBLANK('Eid List Entry'!C146),"",('Eid List Entry'!$H$5))</f>
        <v/>
      </c>
    </row>
    <row r="147" spans="1:7" x14ac:dyDescent="0.25">
      <c r="A147" s="104" t="str">
        <f>'Eid List Entry'!B147</f>
        <v xml:space="preserve"> </v>
      </c>
      <c r="B147" s="104" t="str">
        <f>IF(ISBLANK('Eid List Entry'!C147),"",('Eid List Entry'!C147))</f>
        <v/>
      </c>
      <c r="C147" s="104" t="str">
        <f>IF(ISBLANK('Eid List Entry'!D147),"",('Eid List Entry'!D147))</f>
        <v/>
      </c>
      <c r="D147" s="138" t="str">
        <f>IF(ISBLANK('Eid List Entry'!C147),"",('Eid List Entry'!$H$7))</f>
        <v/>
      </c>
      <c r="E147" s="129" t="str">
        <f>IF(ISBLANK('Eid List Entry'!C147),"",('Eid List Entry'!$H$8))</f>
        <v/>
      </c>
      <c r="F147" s="140" t="str">
        <f>IF(ISBLANK('Eid List Entry'!C147),"",TEXT(('Eid List Entry'!$H$3),"MM/DD/YY"))</f>
        <v/>
      </c>
      <c r="G147" s="104" t="str">
        <f>IF(ISBLANK('Eid List Entry'!C147),"",('Eid List Entry'!$H$5))</f>
        <v/>
      </c>
    </row>
    <row r="148" spans="1:7" x14ac:dyDescent="0.25">
      <c r="A148" s="104" t="str">
        <f>'Eid List Entry'!B148</f>
        <v xml:space="preserve"> </v>
      </c>
      <c r="B148" s="104" t="str">
        <f>IF(ISBLANK('Eid List Entry'!C148),"",('Eid List Entry'!C148))</f>
        <v/>
      </c>
      <c r="C148" s="104" t="str">
        <f>IF(ISBLANK('Eid List Entry'!D148),"",('Eid List Entry'!D148))</f>
        <v/>
      </c>
      <c r="D148" s="138" t="str">
        <f>IF(ISBLANK('Eid List Entry'!C148),"",('Eid List Entry'!$H$7))</f>
        <v/>
      </c>
      <c r="E148" s="129" t="str">
        <f>IF(ISBLANK('Eid List Entry'!C148),"",('Eid List Entry'!$H$8))</f>
        <v/>
      </c>
      <c r="F148" s="140" t="str">
        <f>IF(ISBLANK('Eid List Entry'!C148),"",TEXT(('Eid List Entry'!$H$3),"MM/DD/YY"))</f>
        <v/>
      </c>
      <c r="G148" s="104" t="str">
        <f>IF(ISBLANK('Eid List Entry'!C148),"",('Eid List Entry'!$H$5))</f>
        <v/>
      </c>
    </row>
    <row r="149" spans="1:7" x14ac:dyDescent="0.25">
      <c r="A149" s="104" t="str">
        <f>'Eid List Entry'!B149</f>
        <v xml:space="preserve"> </v>
      </c>
      <c r="B149" s="104" t="str">
        <f>IF(ISBLANK('Eid List Entry'!C149),"",('Eid List Entry'!C149))</f>
        <v/>
      </c>
      <c r="C149" s="104" t="str">
        <f>IF(ISBLANK('Eid List Entry'!D149),"",('Eid List Entry'!D149))</f>
        <v/>
      </c>
      <c r="D149" s="138" t="str">
        <f>IF(ISBLANK('Eid List Entry'!C149),"",('Eid List Entry'!$H$7))</f>
        <v/>
      </c>
      <c r="E149" s="129" t="str">
        <f>IF(ISBLANK('Eid List Entry'!C149),"",('Eid List Entry'!$H$8))</f>
        <v/>
      </c>
      <c r="F149" s="140" t="str">
        <f>IF(ISBLANK('Eid List Entry'!C149),"",TEXT(('Eid List Entry'!$H$3),"MM/DD/YY"))</f>
        <v/>
      </c>
      <c r="G149" s="104" t="str">
        <f>IF(ISBLANK('Eid List Entry'!C149),"",('Eid List Entry'!$H$5))</f>
        <v/>
      </c>
    </row>
    <row r="150" spans="1:7" x14ac:dyDescent="0.25">
      <c r="A150" s="104" t="str">
        <f>'Eid List Entry'!B150</f>
        <v xml:space="preserve"> </v>
      </c>
      <c r="B150" s="104" t="str">
        <f>IF(ISBLANK('Eid List Entry'!C150),"",('Eid List Entry'!C150))</f>
        <v/>
      </c>
      <c r="C150" s="104" t="str">
        <f>IF(ISBLANK('Eid List Entry'!D150),"",('Eid List Entry'!D150))</f>
        <v/>
      </c>
      <c r="D150" s="138" t="str">
        <f>IF(ISBLANK('Eid List Entry'!C150),"",('Eid List Entry'!$H$7))</f>
        <v/>
      </c>
      <c r="E150" s="129" t="str">
        <f>IF(ISBLANK('Eid List Entry'!C150),"",('Eid List Entry'!$H$8))</f>
        <v/>
      </c>
      <c r="F150" s="140" t="str">
        <f>IF(ISBLANK('Eid List Entry'!C150),"",TEXT(('Eid List Entry'!$H$3),"MM/DD/YY"))</f>
        <v/>
      </c>
      <c r="G150" s="104" t="str">
        <f>IF(ISBLANK('Eid List Entry'!C150),"",('Eid List Entry'!$H$5))</f>
        <v/>
      </c>
    </row>
    <row r="151" spans="1:7" x14ac:dyDescent="0.25">
      <c r="A151" s="104" t="str">
        <f>'Eid List Entry'!B151</f>
        <v xml:space="preserve"> </v>
      </c>
      <c r="B151" s="104" t="str">
        <f>IF(ISBLANK('Eid List Entry'!C151),"",('Eid List Entry'!C151))</f>
        <v/>
      </c>
      <c r="C151" s="104" t="str">
        <f>IF(ISBLANK('Eid List Entry'!D151),"",('Eid List Entry'!D151))</f>
        <v/>
      </c>
      <c r="D151" s="138" t="str">
        <f>IF(ISBLANK('Eid List Entry'!C151),"",('Eid List Entry'!$H$7))</f>
        <v/>
      </c>
      <c r="E151" s="129" t="str">
        <f>IF(ISBLANK('Eid List Entry'!C151),"",('Eid List Entry'!$H$8))</f>
        <v/>
      </c>
      <c r="F151" s="140" t="str">
        <f>IF(ISBLANK('Eid List Entry'!C151),"",TEXT(('Eid List Entry'!$H$3),"MM/DD/YY"))</f>
        <v/>
      </c>
      <c r="G151" s="104" t="str">
        <f>IF(ISBLANK('Eid List Entry'!C151),"",('Eid List Entry'!$H$5))</f>
        <v/>
      </c>
    </row>
    <row r="152" spans="1:7" x14ac:dyDescent="0.25">
      <c r="A152" s="104" t="str">
        <f>'Eid List Entry'!B152</f>
        <v xml:space="preserve"> </v>
      </c>
      <c r="B152" s="104" t="str">
        <f>IF(ISBLANK('Eid List Entry'!C152),"",('Eid List Entry'!C152))</f>
        <v/>
      </c>
      <c r="C152" s="104" t="str">
        <f>IF(ISBLANK('Eid List Entry'!D152),"",('Eid List Entry'!D152))</f>
        <v/>
      </c>
      <c r="D152" s="138" t="str">
        <f>IF(ISBLANK('Eid List Entry'!C152),"",('Eid List Entry'!$H$7))</f>
        <v/>
      </c>
      <c r="E152" s="129" t="str">
        <f>IF(ISBLANK('Eid List Entry'!C152),"",('Eid List Entry'!$H$8))</f>
        <v/>
      </c>
      <c r="F152" s="140" t="str">
        <f>IF(ISBLANK('Eid List Entry'!C152),"",TEXT(('Eid List Entry'!$H$3),"MM/DD/YY"))</f>
        <v/>
      </c>
      <c r="G152" s="104" t="str">
        <f>IF(ISBLANK('Eid List Entry'!C152),"",('Eid List Entry'!$H$5))</f>
        <v/>
      </c>
    </row>
    <row r="153" spans="1:7" x14ac:dyDescent="0.25">
      <c r="A153" s="104" t="str">
        <f>'Eid List Entry'!B153</f>
        <v xml:space="preserve"> </v>
      </c>
      <c r="B153" s="104" t="str">
        <f>IF(ISBLANK('Eid List Entry'!C153),"",('Eid List Entry'!C153))</f>
        <v/>
      </c>
      <c r="C153" s="104" t="str">
        <f>IF(ISBLANK('Eid List Entry'!D153),"",('Eid List Entry'!D153))</f>
        <v/>
      </c>
      <c r="D153" s="138" t="str">
        <f>IF(ISBLANK('Eid List Entry'!C153),"",('Eid List Entry'!$H$7))</f>
        <v/>
      </c>
      <c r="E153" s="129" t="str">
        <f>IF(ISBLANK('Eid List Entry'!C153),"",('Eid List Entry'!$H$8))</f>
        <v/>
      </c>
      <c r="F153" s="140" t="str">
        <f>IF(ISBLANK('Eid List Entry'!C153),"",TEXT(('Eid List Entry'!$H$3),"MM/DD/YY"))</f>
        <v/>
      </c>
      <c r="G153" s="104" t="str">
        <f>IF(ISBLANK('Eid List Entry'!C153),"",('Eid List Entry'!$H$5))</f>
        <v/>
      </c>
    </row>
    <row r="154" spans="1:7" x14ac:dyDescent="0.25">
      <c r="A154" s="104" t="str">
        <f>'Eid List Entry'!B154</f>
        <v xml:space="preserve"> </v>
      </c>
      <c r="B154" s="104" t="str">
        <f>IF(ISBLANK('Eid List Entry'!C154),"",('Eid List Entry'!C154))</f>
        <v/>
      </c>
      <c r="C154" s="104" t="str">
        <f>IF(ISBLANK('Eid List Entry'!D154),"",('Eid List Entry'!D154))</f>
        <v/>
      </c>
      <c r="D154" s="138" t="str">
        <f>IF(ISBLANK('Eid List Entry'!C154),"",('Eid List Entry'!$H$7))</f>
        <v/>
      </c>
      <c r="E154" s="129" t="str">
        <f>IF(ISBLANK('Eid List Entry'!C154),"",('Eid List Entry'!$H$8))</f>
        <v/>
      </c>
      <c r="F154" s="140" t="str">
        <f>IF(ISBLANK('Eid List Entry'!C154),"",TEXT(('Eid List Entry'!$H$3),"MM/DD/YY"))</f>
        <v/>
      </c>
      <c r="G154" s="104" t="str">
        <f>IF(ISBLANK('Eid List Entry'!C154),"",('Eid List Entry'!$H$5))</f>
        <v/>
      </c>
    </row>
    <row r="155" spans="1:7" x14ac:dyDescent="0.25">
      <c r="A155" s="104" t="str">
        <f>'Eid List Entry'!B155</f>
        <v xml:space="preserve"> </v>
      </c>
      <c r="B155" s="104" t="str">
        <f>IF(ISBLANK('Eid List Entry'!C155),"",('Eid List Entry'!C155))</f>
        <v/>
      </c>
      <c r="C155" s="104" t="str">
        <f>IF(ISBLANK('Eid List Entry'!D155),"",('Eid List Entry'!D155))</f>
        <v/>
      </c>
      <c r="D155" s="138" t="str">
        <f>IF(ISBLANK('Eid List Entry'!C155),"",('Eid List Entry'!$H$7))</f>
        <v/>
      </c>
      <c r="E155" s="129" t="str">
        <f>IF(ISBLANK('Eid List Entry'!C155),"",('Eid List Entry'!$H$8))</f>
        <v/>
      </c>
      <c r="F155" s="140" t="str">
        <f>IF(ISBLANK('Eid List Entry'!C155),"",TEXT(('Eid List Entry'!$H$3),"MM/DD/YY"))</f>
        <v/>
      </c>
      <c r="G155" s="104" t="str">
        <f>IF(ISBLANK('Eid List Entry'!C155),"",('Eid List Entry'!$H$5))</f>
        <v/>
      </c>
    </row>
    <row r="156" spans="1:7" x14ac:dyDescent="0.25">
      <c r="A156" s="104" t="str">
        <f>'Eid List Entry'!B156</f>
        <v xml:space="preserve"> </v>
      </c>
      <c r="B156" s="104" t="str">
        <f>IF(ISBLANK('Eid List Entry'!C156),"",('Eid List Entry'!C156))</f>
        <v/>
      </c>
      <c r="C156" s="104" t="str">
        <f>IF(ISBLANK('Eid List Entry'!D156),"",('Eid List Entry'!D156))</f>
        <v/>
      </c>
      <c r="D156" s="138" t="str">
        <f>IF(ISBLANK('Eid List Entry'!C156),"",('Eid List Entry'!$H$7))</f>
        <v/>
      </c>
      <c r="E156" s="129" t="str">
        <f>IF(ISBLANK('Eid List Entry'!C156),"",('Eid List Entry'!$H$8))</f>
        <v/>
      </c>
      <c r="F156" s="140" t="str">
        <f>IF(ISBLANK('Eid List Entry'!C156),"",TEXT(('Eid List Entry'!$H$3),"MM/DD/YY"))</f>
        <v/>
      </c>
      <c r="G156" s="104" t="str">
        <f>IF(ISBLANK('Eid List Entry'!C156),"",('Eid List Entry'!$H$5))</f>
        <v/>
      </c>
    </row>
    <row r="157" spans="1:7" x14ac:dyDescent="0.25">
      <c r="A157" s="104" t="str">
        <f>'Eid List Entry'!B157</f>
        <v xml:space="preserve"> </v>
      </c>
      <c r="B157" s="104" t="str">
        <f>IF(ISBLANK('Eid List Entry'!C157),"",('Eid List Entry'!C157))</f>
        <v/>
      </c>
      <c r="C157" s="104" t="str">
        <f>IF(ISBLANK('Eid List Entry'!D157),"",('Eid List Entry'!D157))</f>
        <v/>
      </c>
      <c r="D157" s="138" t="str">
        <f>IF(ISBLANK('Eid List Entry'!C157),"",('Eid List Entry'!$H$7))</f>
        <v/>
      </c>
      <c r="E157" s="129" t="str">
        <f>IF(ISBLANK('Eid List Entry'!C157),"",('Eid List Entry'!$H$8))</f>
        <v/>
      </c>
      <c r="F157" s="140" t="str">
        <f>IF(ISBLANK('Eid List Entry'!C157),"",TEXT(('Eid List Entry'!$H$3),"MM/DD/YY"))</f>
        <v/>
      </c>
      <c r="G157" s="104" t="str">
        <f>IF(ISBLANK('Eid List Entry'!C157),"",('Eid List Entry'!$H$5))</f>
        <v/>
      </c>
    </row>
    <row r="158" spans="1:7" x14ac:dyDescent="0.25">
      <c r="A158" s="104" t="str">
        <f>'Eid List Entry'!B158</f>
        <v xml:space="preserve"> </v>
      </c>
      <c r="B158" s="104" t="str">
        <f>IF(ISBLANK('Eid List Entry'!C158),"",('Eid List Entry'!C158))</f>
        <v/>
      </c>
      <c r="C158" s="104" t="str">
        <f>IF(ISBLANK('Eid List Entry'!D158),"",('Eid List Entry'!D158))</f>
        <v/>
      </c>
      <c r="D158" s="138" t="str">
        <f>IF(ISBLANK('Eid List Entry'!C158),"",('Eid List Entry'!$H$7))</f>
        <v/>
      </c>
      <c r="E158" s="129" t="str">
        <f>IF(ISBLANK('Eid List Entry'!C158),"",('Eid List Entry'!$H$8))</f>
        <v/>
      </c>
      <c r="F158" s="140" t="str">
        <f>IF(ISBLANK('Eid List Entry'!C158),"",TEXT(('Eid List Entry'!$H$3),"MM/DD/YY"))</f>
        <v/>
      </c>
      <c r="G158" s="104" t="str">
        <f>IF(ISBLANK('Eid List Entry'!C158),"",('Eid List Entry'!$H$5))</f>
        <v/>
      </c>
    </row>
    <row r="159" spans="1:7" x14ac:dyDescent="0.25">
      <c r="A159" s="104" t="str">
        <f>'Eid List Entry'!B159</f>
        <v xml:space="preserve"> </v>
      </c>
      <c r="B159" s="104" t="str">
        <f>IF(ISBLANK('Eid List Entry'!C159),"",('Eid List Entry'!C159))</f>
        <v/>
      </c>
      <c r="C159" s="104" t="str">
        <f>IF(ISBLANK('Eid List Entry'!D159),"",('Eid List Entry'!D159))</f>
        <v/>
      </c>
      <c r="D159" s="138" t="str">
        <f>IF(ISBLANK('Eid List Entry'!C159),"",('Eid List Entry'!$H$7))</f>
        <v/>
      </c>
      <c r="E159" s="129" t="str">
        <f>IF(ISBLANK('Eid List Entry'!C159),"",('Eid List Entry'!$H$8))</f>
        <v/>
      </c>
      <c r="F159" s="140" t="str">
        <f>IF(ISBLANK('Eid List Entry'!C159),"",TEXT(('Eid List Entry'!$H$3),"MM/DD/YY"))</f>
        <v/>
      </c>
      <c r="G159" s="104" t="str">
        <f>IF(ISBLANK('Eid List Entry'!C159),"",('Eid List Entry'!$H$5))</f>
        <v/>
      </c>
    </row>
    <row r="160" spans="1:7" x14ac:dyDescent="0.25">
      <c r="A160" s="104" t="str">
        <f>'Eid List Entry'!B160</f>
        <v xml:space="preserve"> </v>
      </c>
      <c r="B160" s="104" t="str">
        <f>IF(ISBLANK('Eid List Entry'!C160),"",('Eid List Entry'!C160))</f>
        <v/>
      </c>
      <c r="C160" s="104" t="str">
        <f>IF(ISBLANK('Eid List Entry'!D160),"",('Eid List Entry'!D160))</f>
        <v/>
      </c>
      <c r="D160" s="138" t="str">
        <f>IF(ISBLANK('Eid List Entry'!C160),"",('Eid List Entry'!$H$7))</f>
        <v/>
      </c>
      <c r="E160" s="129" t="str">
        <f>IF(ISBLANK('Eid List Entry'!C160),"",('Eid List Entry'!$H$8))</f>
        <v/>
      </c>
      <c r="F160" s="140" t="str">
        <f>IF(ISBLANK('Eid List Entry'!C160),"",TEXT(('Eid List Entry'!$H$3),"MM/DD/YY"))</f>
        <v/>
      </c>
      <c r="G160" s="104" t="str">
        <f>IF(ISBLANK('Eid List Entry'!C160),"",('Eid List Entry'!$H$5))</f>
        <v/>
      </c>
    </row>
    <row r="161" spans="1:7" x14ac:dyDescent="0.25">
      <c r="A161" s="104" t="str">
        <f>'Eid List Entry'!B161</f>
        <v xml:space="preserve"> </v>
      </c>
      <c r="B161" s="104" t="str">
        <f>IF(ISBLANK('Eid List Entry'!C161),"",('Eid List Entry'!C161))</f>
        <v/>
      </c>
      <c r="C161" s="104" t="str">
        <f>IF(ISBLANK('Eid List Entry'!D161),"",('Eid List Entry'!D161))</f>
        <v/>
      </c>
      <c r="D161" s="138" t="str">
        <f>IF(ISBLANK('Eid List Entry'!C161),"",('Eid List Entry'!$H$7))</f>
        <v/>
      </c>
      <c r="E161" s="129" t="str">
        <f>IF(ISBLANK('Eid List Entry'!C161),"",('Eid List Entry'!$H$8))</f>
        <v/>
      </c>
      <c r="F161" s="140" t="str">
        <f>IF(ISBLANK('Eid List Entry'!C161),"",TEXT(('Eid List Entry'!$H$3),"MM/DD/YY"))</f>
        <v/>
      </c>
      <c r="G161" s="104" t="str">
        <f>IF(ISBLANK('Eid List Entry'!C161),"",('Eid List Entry'!$H$5))</f>
        <v/>
      </c>
    </row>
    <row r="162" spans="1:7" x14ac:dyDescent="0.25">
      <c r="A162" s="104" t="str">
        <f>'Eid List Entry'!B162</f>
        <v xml:space="preserve"> </v>
      </c>
      <c r="B162" s="104" t="str">
        <f>IF(ISBLANK('Eid List Entry'!C162),"",('Eid List Entry'!C162))</f>
        <v/>
      </c>
      <c r="C162" s="104" t="str">
        <f>IF(ISBLANK('Eid List Entry'!D162),"",('Eid List Entry'!D162))</f>
        <v/>
      </c>
      <c r="D162" s="138" t="str">
        <f>IF(ISBLANK('Eid List Entry'!C162),"",('Eid List Entry'!$H$7))</f>
        <v/>
      </c>
      <c r="E162" s="129" t="str">
        <f>IF(ISBLANK('Eid List Entry'!C162),"",('Eid List Entry'!$H$8))</f>
        <v/>
      </c>
      <c r="F162" s="140" t="str">
        <f>IF(ISBLANK('Eid List Entry'!C162),"",TEXT(('Eid List Entry'!$H$3),"MM/DD/YY"))</f>
        <v/>
      </c>
      <c r="G162" s="104" t="str">
        <f>IF(ISBLANK('Eid List Entry'!C162),"",('Eid List Entry'!$H$5))</f>
        <v/>
      </c>
    </row>
    <row r="163" spans="1:7" x14ac:dyDescent="0.25">
      <c r="A163" s="104" t="str">
        <f>'Eid List Entry'!B163</f>
        <v xml:space="preserve"> </v>
      </c>
      <c r="B163" s="104" t="str">
        <f>IF(ISBLANK('Eid List Entry'!C163),"",('Eid List Entry'!C163))</f>
        <v/>
      </c>
      <c r="C163" s="104" t="str">
        <f>IF(ISBLANK('Eid List Entry'!D163),"",('Eid List Entry'!D163))</f>
        <v/>
      </c>
      <c r="D163" s="138" t="str">
        <f>IF(ISBLANK('Eid List Entry'!C163),"",('Eid List Entry'!$H$7))</f>
        <v/>
      </c>
      <c r="E163" s="129" t="str">
        <f>IF(ISBLANK('Eid List Entry'!C163),"",('Eid List Entry'!$H$8))</f>
        <v/>
      </c>
      <c r="F163" s="140" t="str">
        <f>IF(ISBLANK('Eid List Entry'!C163),"",TEXT(('Eid List Entry'!$H$3),"MM/DD/YY"))</f>
        <v/>
      </c>
      <c r="G163" s="104" t="str">
        <f>IF(ISBLANK('Eid List Entry'!C163),"",('Eid List Entry'!$H$5))</f>
        <v/>
      </c>
    </row>
    <row r="164" spans="1:7" x14ac:dyDescent="0.25">
      <c r="A164" s="104" t="str">
        <f>'Eid List Entry'!B164</f>
        <v xml:space="preserve"> </v>
      </c>
      <c r="B164" s="104" t="str">
        <f>IF(ISBLANK('Eid List Entry'!C164),"",('Eid List Entry'!C164))</f>
        <v/>
      </c>
      <c r="C164" s="104" t="str">
        <f>IF(ISBLANK('Eid List Entry'!D164),"",('Eid List Entry'!D164))</f>
        <v/>
      </c>
      <c r="D164" s="138" t="str">
        <f>IF(ISBLANK('Eid List Entry'!C164),"",('Eid List Entry'!$H$7))</f>
        <v/>
      </c>
      <c r="E164" s="129" t="str">
        <f>IF(ISBLANK('Eid List Entry'!C164),"",('Eid List Entry'!$H$8))</f>
        <v/>
      </c>
      <c r="F164" s="140" t="str">
        <f>IF(ISBLANK('Eid List Entry'!C164),"",TEXT(('Eid List Entry'!$H$3),"MM/DD/YY"))</f>
        <v/>
      </c>
      <c r="G164" s="104" t="str">
        <f>IF(ISBLANK('Eid List Entry'!C164),"",('Eid List Entry'!$H$5))</f>
        <v/>
      </c>
    </row>
    <row r="165" spans="1:7" x14ac:dyDescent="0.25">
      <c r="A165" s="104" t="str">
        <f>'Eid List Entry'!B165</f>
        <v xml:space="preserve"> </v>
      </c>
      <c r="B165" s="104" t="str">
        <f>IF(ISBLANK('Eid List Entry'!C165),"",('Eid List Entry'!C165))</f>
        <v/>
      </c>
      <c r="C165" s="104" t="str">
        <f>IF(ISBLANK('Eid List Entry'!D165),"",('Eid List Entry'!D165))</f>
        <v/>
      </c>
      <c r="D165" s="138" t="str">
        <f>IF(ISBLANK('Eid List Entry'!C165),"",('Eid List Entry'!$H$7))</f>
        <v/>
      </c>
      <c r="E165" s="129" t="str">
        <f>IF(ISBLANK('Eid List Entry'!C165),"",('Eid List Entry'!$H$8))</f>
        <v/>
      </c>
      <c r="F165" s="140" t="str">
        <f>IF(ISBLANK('Eid List Entry'!C165),"",TEXT(('Eid List Entry'!$H$3),"MM/DD/YY"))</f>
        <v/>
      </c>
      <c r="G165" s="104" t="str">
        <f>IF(ISBLANK('Eid List Entry'!C165),"",('Eid List Entry'!$H$5))</f>
        <v/>
      </c>
    </row>
    <row r="166" spans="1:7" x14ac:dyDescent="0.25">
      <c r="A166" s="104" t="str">
        <f>'Eid List Entry'!B166</f>
        <v xml:space="preserve"> </v>
      </c>
      <c r="B166" s="104" t="str">
        <f>IF(ISBLANK('Eid List Entry'!C166),"",('Eid List Entry'!C166))</f>
        <v/>
      </c>
      <c r="C166" s="104" t="str">
        <f>IF(ISBLANK('Eid List Entry'!D166),"",('Eid List Entry'!D166))</f>
        <v/>
      </c>
      <c r="D166" s="138" t="str">
        <f>IF(ISBLANK('Eid List Entry'!C166),"",('Eid List Entry'!$H$7))</f>
        <v/>
      </c>
      <c r="E166" s="129" t="str">
        <f>IF(ISBLANK('Eid List Entry'!C166),"",('Eid List Entry'!$H$8))</f>
        <v/>
      </c>
      <c r="F166" s="140" t="str">
        <f>IF(ISBLANK('Eid List Entry'!C166),"",TEXT(('Eid List Entry'!$H$3),"MM/DD/YY"))</f>
        <v/>
      </c>
      <c r="G166" s="104" t="str">
        <f>IF(ISBLANK('Eid List Entry'!C166),"",('Eid List Entry'!$H$5))</f>
        <v/>
      </c>
    </row>
    <row r="167" spans="1:7" x14ac:dyDescent="0.25">
      <c r="A167" s="104" t="str">
        <f>'Eid List Entry'!B167</f>
        <v xml:space="preserve"> </v>
      </c>
      <c r="B167" s="104" t="str">
        <f>IF(ISBLANK('Eid List Entry'!C167),"",('Eid List Entry'!C167))</f>
        <v/>
      </c>
      <c r="C167" s="104" t="str">
        <f>IF(ISBLANK('Eid List Entry'!D167),"",('Eid List Entry'!D167))</f>
        <v/>
      </c>
      <c r="D167" s="138" t="str">
        <f>IF(ISBLANK('Eid List Entry'!C167),"",('Eid List Entry'!$H$7))</f>
        <v/>
      </c>
      <c r="E167" s="129" t="str">
        <f>IF(ISBLANK('Eid List Entry'!C167),"",('Eid List Entry'!$H$8))</f>
        <v/>
      </c>
      <c r="F167" s="140" t="str">
        <f>IF(ISBLANK('Eid List Entry'!C167),"",TEXT(('Eid List Entry'!$H$3),"MM/DD/YY"))</f>
        <v/>
      </c>
      <c r="G167" s="104" t="str">
        <f>IF(ISBLANK('Eid List Entry'!C167),"",('Eid List Entry'!$H$5))</f>
        <v/>
      </c>
    </row>
    <row r="168" spans="1:7" x14ac:dyDescent="0.25">
      <c r="A168" s="104" t="str">
        <f>'Eid List Entry'!B168</f>
        <v xml:space="preserve"> </v>
      </c>
      <c r="B168" s="104" t="str">
        <f>IF(ISBLANK('Eid List Entry'!C168),"",('Eid List Entry'!C168))</f>
        <v/>
      </c>
      <c r="C168" s="104" t="str">
        <f>IF(ISBLANK('Eid List Entry'!D168),"",('Eid List Entry'!D168))</f>
        <v/>
      </c>
      <c r="D168" s="138" t="str">
        <f>IF(ISBLANK('Eid List Entry'!C168),"",('Eid List Entry'!$H$7))</f>
        <v/>
      </c>
      <c r="E168" s="129" t="str">
        <f>IF(ISBLANK('Eid List Entry'!C168),"",('Eid List Entry'!$H$8))</f>
        <v/>
      </c>
      <c r="F168" s="140" t="str">
        <f>IF(ISBLANK('Eid List Entry'!C168),"",TEXT(('Eid List Entry'!$H$3),"MM/DD/YY"))</f>
        <v/>
      </c>
      <c r="G168" s="104" t="str">
        <f>IF(ISBLANK('Eid List Entry'!C168),"",('Eid List Entry'!$H$5))</f>
        <v/>
      </c>
    </row>
    <row r="169" spans="1:7" x14ac:dyDescent="0.25">
      <c r="A169" s="104" t="str">
        <f>'Eid List Entry'!B169</f>
        <v xml:space="preserve"> </v>
      </c>
      <c r="B169" s="104" t="str">
        <f>IF(ISBLANK('Eid List Entry'!C169),"",('Eid List Entry'!C169))</f>
        <v/>
      </c>
      <c r="C169" s="104" t="str">
        <f>IF(ISBLANK('Eid List Entry'!D169),"",('Eid List Entry'!D169))</f>
        <v/>
      </c>
      <c r="D169" s="138" t="str">
        <f>IF(ISBLANK('Eid List Entry'!C169),"",('Eid List Entry'!$H$7))</f>
        <v/>
      </c>
      <c r="E169" s="129" t="str">
        <f>IF(ISBLANK('Eid List Entry'!C169),"",('Eid List Entry'!$H$8))</f>
        <v/>
      </c>
      <c r="F169" s="140" t="str">
        <f>IF(ISBLANK('Eid List Entry'!C169),"",TEXT(('Eid List Entry'!$H$3),"MM/DD/YY"))</f>
        <v/>
      </c>
      <c r="G169" s="104" t="str">
        <f>IF(ISBLANK('Eid List Entry'!C169),"",('Eid List Entry'!$H$5))</f>
        <v/>
      </c>
    </row>
    <row r="170" spans="1:7" x14ac:dyDescent="0.25">
      <c r="A170" s="104" t="str">
        <f>'Eid List Entry'!B170</f>
        <v xml:space="preserve"> </v>
      </c>
      <c r="B170" s="104" t="str">
        <f>IF(ISBLANK('Eid List Entry'!C170),"",('Eid List Entry'!C170))</f>
        <v/>
      </c>
      <c r="C170" s="104" t="str">
        <f>IF(ISBLANK('Eid List Entry'!D170),"",('Eid List Entry'!D170))</f>
        <v/>
      </c>
      <c r="D170" s="138" t="str">
        <f>IF(ISBLANK('Eid List Entry'!C170),"",('Eid List Entry'!$H$7))</f>
        <v/>
      </c>
      <c r="E170" s="129" t="str">
        <f>IF(ISBLANK('Eid List Entry'!C170),"",('Eid List Entry'!$H$8))</f>
        <v/>
      </c>
      <c r="F170" s="140" t="str">
        <f>IF(ISBLANK('Eid List Entry'!C170),"",TEXT(('Eid List Entry'!$H$3),"MM/DD/YY"))</f>
        <v/>
      </c>
      <c r="G170" s="104" t="str">
        <f>IF(ISBLANK('Eid List Entry'!C170),"",('Eid List Entry'!$H$5))</f>
        <v/>
      </c>
    </row>
    <row r="171" spans="1:7" x14ac:dyDescent="0.25">
      <c r="A171" s="104" t="str">
        <f>'Eid List Entry'!B171</f>
        <v xml:space="preserve"> </v>
      </c>
      <c r="B171" s="104" t="str">
        <f>IF(ISBLANK('Eid List Entry'!C171),"",('Eid List Entry'!C171))</f>
        <v/>
      </c>
      <c r="C171" s="104" t="str">
        <f>IF(ISBLANK('Eid List Entry'!D171),"",('Eid List Entry'!D171))</f>
        <v/>
      </c>
      <c r="D171" s="138" t="str">
        <f>IF(ISBLANK('Eid List Entry'!C171),"",('Eid List Entry'!$H$7))</f>
        <v/>
      </c>
      <c r="E171" s="129" t="str">
        <f>IF(ISBLANK('Eid List Entry'!C171),"",('Eid List Entry'!$H$8))</f>
        <v/>
      </c>
      <c r="F171" s="140" t="str">
        <f>IF(ISBLANK('Eid List Entry'!C171),"",TEXT(('Eid List Entry'!$H$3),"MM/DD/YY"))</f>
        <v/>
      </c>
      <c r="G171" s="104" t="str">
        <f>IF(ISBLANK('Eid List Entry'!C171),"",('Eid List Entry'!$H$5))</f>
        <v/>
      </c>
    </row>
    <row r="172" spans="1:7" x14ac:dyDescent="0.25">
      <c r="A172" s="104" t="str">
        <f>'Eid List Entry'!B172</f>
        <v xml:space="preserve"> </v>
      </c>
      <c r="B172" s="104" t="str">
        <f>IF(ISBLANK('Eid List Entry'!C172),"",('Eid List Entry'!C172))</f>
        <v/>
      </c>
      <c r="C172" s="104" t="str">
        <f>IF(ISBLANK('Eid List Entry'!D172),"",('Eid List Entry'!D172))</f>
        <v/>
      </c>
      <c r="D172" s="138" t="str">
        <f>IF(ISBLANK('Eid List Entry'!C172),"",('Eid List Entry'!$H$7))</f>
        <v/>
      </c>
      <c r="E172" s="129" t="str">
        <f>IF(ISBLANK('Eid List Entry'!C172),"",('Eid List Entry'!$H$8))</f>
        <v/>
      </c>
      <c r="F172" s="140" t="str">
        <f>IF(ISBLANK('Eid List Entry'!C172),"",TEXT(('Eid List Entry'!$H$3),"MM/DD/YY"))</f>
        <v/>
      </c>
      <c r="G172" s="104" t="str">
        <f>IF(ISBLANK('Eid List Entry'!C172),"",('Eid List Entry'!$H$5))</f>
        <v/>
      </c>
    </row>
    <row r="173" spans="1:7" x14ac:dyDescent="0.25">
      <c r="A173" s="104" t="str">
        <f>'Eid List Entry'!B173</f>
        <v xml:space="preserve"> </v>
      </c>
      <c r="B173" s="104" t="str">
        <f>IF(ISBLANK('Eid List Entry'!C173),"",('Eid List Entry'!C173))</f>
        <v/>
      </c>
      <c r="C173" s="104" t="str">
        <f>IF(ISBLANK('Eid List Entry'!D173),"",('Eid List Entry'!D173))</f>
        <v/>
      </c>
      <c r="D173" s="138" t="str">
        <f>IF(ISBLANK('Eid List Entry'!C173),"",('Eid List Entry'!$H$7))</f>
        <v/>
      </c>
      <c r="E173" s="129" t="str">
        <f>IF(ISBLANK('Eid List Entry'!C173),"",('Eid List Entry'!$H$8))</f>
        <v/>
      </c>
      <c r="F173" s="140" t="str">
        <f>IF(ISBLANK('Eid List Entry'!C173),"",TEXT(('Eid List Entry'!$H$3),"MM/DD/YY"))</f>
        <v/>
      </c>
      <c r="G173" s="104" t="str">
        <f>IF(ISBLANK('Eid List Entry'!C173),"",('Eid List Entry'!$H$5))</f>
        <v/>
      </c>
    </row>
    <row r="174" spans="1:7" x14ac:dyDescent="0.25">
      <c r="A174" s="104" t="str">
        <f>'Eid List Entry'!B174</f>
        <v xml:space="preserve"> </v>
      </c>
      <c r="B174" s="104" t="str">
        <f>IF(ISBLANK('Eid List Entry'!C174),"",('Eid List Entry'!C174))</f>
        <v/>
      </c>
      <c r="C174" s="104" t="str">
        <f>IF(ISBLANK('Eid List Entry'!D174),"",('Eid List Entry'!D174))</f>
        <v/>
      </c>
      <c r="D174" s="138" t="str">
        <f>IF(ISBLANK('Eid List Entry'!C174),"",('Eid List Entry'!$H$7))</f>
        <v/>
      </c>
      <c r="E174" s="129" t="str">
        <f>IF(ISBLANK('Eid List Entry'!C174),"",('Eid List Entry'!$H$8))</f>
        <v/>
      </c>
      <c r="F174" s="140" t="str">
        <f>IF(ISBLANK('Eid List Entry'!C174),"",TEXT(('Eid List Entry'!$H$3),"MM/DD/YY"))</f>
        <v/>
      </c>
      <c r="G174" s="104" t="str">
        <f>IF(ISBLANK('Eid List Entry'!C174),"",('Eid List Entry'!$H$5))</f>
        <v/>
      </c>
    </row>
    <row r="175" spans="1:7" x14ac:dyDescent="0.25">
      <c r="A175" s="104" t="str">
        <f>'Eid List Entry'!B175</f>
        <v xml:space="preserve"> </v>
      </c>
      <c r="B175" s="104" t="str">
        <f>IF(ISBLANK('Eid List Entry'!C175),"",('Eid List Entry'!C175))</f>
        <v/>
      </c>
      <c r="C175" s="104" t="str">
        <f>IF(ISBLANK('Eid List Entry'!D175),"",('Eid List Entry'!D175))</f>
        <v/>
      </c>
      <c r="D175" s="138" t="str">
        <f>IF(ISBLANK('Eid List Entry'!C175),"",('Eid List Entry'!$H$7))</f>
        <v/>
      </c>
      <c r="E175" s="129" t="str">
        <f>IF(ISBLANK('Eid List Entry'!C175),"",('Eid List Entry'!$H$8))</f>
        <v/>
      </c>
      <c r="F175" s="140" t="str">
        <f>IF(ISBLANK('Eid List Entry'!C175),"",TEXT(('Eid List Entry'!$H$3),"MM/DD/YY"))</f>
        <v/>
      </c>
      <c r="G175" s="104" t="str">
        <f>IF(ISBLANK('Eid List Entry'!C175),"",('Eid List Entry'!$H$5))</f>
        <v/>
      </c>
    </row>
    <row r="176" spans="1:7" x14ac:dyDescent="0.25">
      <c r="A176" s="104" t="str">
        <f>'Eid List Entry'!B176</f>
        <v xml:space="preserve"> </v>
      </c>
      <c r="B176" s="104" t="str">
        <f>IF(ISBLANK('Eid List Entry'!C176),"",('Eid List Entry'!C176))</f>
        <v/>
      </c>
      <c r="C176" s="104" t="str">
        <f>IF(ISBLANK('Eid List Entry'!D176),"",('Eid List Entry'!D176))</f>
        <v/>
      </c>
      <c r="D176" s="138" t="str">
        <f>IF(ISBLANK('Eid List Entry'!C176),"",('Eid List Entry'!$H$7))</f>
        <v/>
      </c>
      <c r="E176" s="129" t="str">
        <f>IF(ISBLANK('Eid List Entry'!C176),"",('Eid List Entry'!$H$8))</f>
        <v/>
      </c>
      <c r="F176" s="140" t="str">
        <f>IF(ISBLANK('Eid List Entry'!C176),"",TEXT(('Eid List Entry'!$H$3),"MM/DD/YY"))</f>
        <v/>
      </c>
      <c r="G176" s="104" t="str">
        <f>IF(ISBLANK('Eid List Entry'!C176),"",('Eid List Entry'!$H$5))</f>
        <v/>
      </c>
    </row>
    <row r="177" spans="1:7" x14ac:dyDescent="0.25">
      <c r="A177" s="104" t="str">
        <f>'Eid List Entry'!B177</f>
        <v xml:space="preserve"> </v>
      </c>
      <c r="B177" s="104" t="str">
        <f>IF(ISBLANK('Eid List Entry'!C177),"",('Eid List Entry'!C177))</f>
        <v/>
      </c>
      <c r="C177" s="104" t="str">
        <f>IF(ISBLANK('Eid List Entry'!D177),"",('Eid List Entry'!D177))</f>
        <v/>
      </c>
      <c r="D177" s="138" t="str">
        <f>IF(ISBLANK('Eid List Entry'!C177),"",('Eid List Entry'!$H$7))</f>
        <v/>
      </c>
      <c r="E177" s="129" t="str">
        <f>IF(ISBLANK('Eid List Entry'!C177),"",('Eid List Entry'!$H$8))</f>
        <v/>
      </c>
      <c r="F177" s="140" t="str">
        <f>IF(ISBLANK('Eid List Entry'!C177),"",TEXT(('Eid List Entry'!$H$3),"MM/DD/YY"))</f>
        <v/>
      </c>
      <c r="G177" s="104" t="str">
        <f>IF(ISBLANK('Eid List Entry'!C177),"",('Eid List Entry'!$H$5))</f>
        <v/>
      </c>
    </row>
    <row r="178" spans="1:7" x14ac:dyDescent="0.25">
      <c r="A178" s="104" t="str">
        <f>'Eid List Entry'!B178</f>
        <v xml:space="preserve"> </v>
      </c>
      <c r="B178" s="104" t="str">
        <f>IF(ISBLANK('Eid List Entry'!C178),"",('Eid List Entry'!C178))</f>
        <v/>
      </c>
      <c r="C178" s="104" t="str">
        <f>IF(ISBLANK('Eid List Entry'!D178),"",('Eid List Entry'!D178))</f>
        <v/>
      </c>
      <c r="D178" s="138" t="str">
        <f>IF(ISBLANK('Eid List Entry'!C178),"",('Eid List Entry'!$H$7))</f>
        <v/>
      </c>
      <c r="E178" s="129" t="str">
        <f>IF(ISBLANK('Eid List Entry'!C178),"",('Eid List Entry'!$H$8))</f>
        <v/>
      </c>
      <c r="F178" s="140" t="str">
        <f>IF(ISBLANK('Eid List Entry'!C178),"",TEXT(('Eid List Entry'!$H$3),"MM/DD/YY"))</f>
        <v/>
      </c>
      <c r="G178" s="104" t="str">
        <f>IF(ISBLANK('Eid List Entry'!C178),"",('Eid List Entry'!$H$5))</f>
        <v/>
      </c>
    </row>
    <row r="179" spans="1:7" x14ac:dyDescent="0.25">
      <c r="A179" s="104" t="str">
        <f>'Eid List Entry'!B179</f>
        <v xml:space="preserve"> </v>
      </c>
      <c r="B179" s="104" t="str">
        <f>IF(ISBLANK('Eid List Entry'!C179),"",('Eid List Entry'!C179))</f>
        <v/>
      </c>
      <c r="C179" s="104" t="str">
        <f>IF(ISBLANK('Eid List Entry'!D179),"",('Eid List Entry'!D179))</f>
        <v/>
      </c>
      <c r="D179" s="138" t="str">
        <f>IF(ISBLANK('Eid List Entry'!C179),"",('Eid List Entry'!$H$7))</f>
        <v/>
      </c>
      <c r="E179" s="129" t="str">
        <f>IF(ISBLANK('Eid List Entry'!C179),"",('Eid List Entry'!$H$8))</f>
        <v/>
      </c>
      <c r="F179" s="140" t="str">
        <f>IF(ISBLANK('Eid List Entry'!C179),"",TEXT(('Eid List Entry'!$H$3),"MM/DD/YY"))</f>
        <v/>
      </c>
      <c r="G179" s="104" t="str">
        <f>IF(ISBLANK('Eid List Entry'!C179),"",('Eid List Entry'!$H$5))</f>
        <v/>
      </c>
    </row>
    <row r="180" spans="1:7" x14ac:dyDescent="0.25">
      <c r="A180" s="104" t="str">
        <f>'Eid List Entry'!B180</f>
        <v xml:space="preserve"> </v>
      </c>
      <c r="B180" s="104" t="str">
        <f>IF(ISBLANK('Eid List Entry'!C180),"",('Eid List Entry'!C180))</f>
        <v/>
      </c>
      <c r="C180" s="104" t="str">
        <f>IF(ISBLANK('Eid List Entry'!D180),"",('Eid List Entry'!D180))</f>
        <v/>
      </c>
      <c r="D180" s="138" t="str">
        <f>IF(ISBLANK('Eid List Entry'!C180),"",('Eid List Entry'!$H$7))</f>
        <v/>
      </c>
      <c r="E180" s="129" t="str">
        <f>IF(ISBLANK('Eid List Entry'!C180),"",('Eid List Entry'!$H$8))</f>
        <v/>
      </c>
      <c r="F180" s="140" t="str">
        <f>IF(ISBLANK('Eid List Entry'!C180),"",TEXT(('Eid List Entry'!$H$3),"MM/DD/YY"))</f>
        <v/>
      </c>
      <c r="G180" s="104" t="str">
        <f>IF(ISBLANK('Eid List Entry'!C180),"",('Eid List Entry'!$H$5))</f>
        <v/>
      </c>
    </row>
    <row r="181" spans="1:7" x14ac:dyDescent="0.25">
      <c r="A181" s="104" t="str">
        <f>'Eid List Entry'!B181</f>
        <v xml:space="preserve"> </v>
      </c>
      <c r="B181" s="104" t="str">
        <f>IF(ISBLANK('Eid List Entry'!C181),"",('Eid List Entry'!C181))</f>
        <v/>
      </c>
      <c r="C181" s="104" t="str">
        <f>IF(ISBLANK('Eid List Entry'!D181),"",('Eid List Entry'!D181))</f>
        <v/>
      </c>
      <c r="D181" s="138" t="str">
        <f>IF(ISBLANK('Eid List Entry'!C181),"",('Eid List Entry'!$H$7))</f>
        <v/>
      </c>
      <c r="E181" s="129" t="str">
        <f>IF(ISBLANK('Eid List Entry'!C181),"",('Eid List Entry'!$H$8))</f>
        <v/>
      </c>
      <c r="F181" s="140" t="str">
        <f>IF(ISBLANK('Eid List Entry'!C181),"",TEXT(('Eid List Entry'!$H$3),"MM/DD/YY"))</f>
        <v/>
      </c>
      <c r="G181" s="104" t="str">
        <f>IF(ISBLANK('Eid List Entry'!C181),"",('Eid List Entry'!$H$5))</f>
        <v/>
      </c>
    </row>
    <row r="182" spans="1:7" x14ac:dyDescent="0.25">
      <c r="A182" s="104" t="str">
        <f>'Eid List Entry'!B182</f>
        <v xml:space="preserve"> </v>
      </c>
      <c r="B182" s="104" t="str">
        <f>IF(ISBLANK('Eid List Entry'!C182),"",('Eid List Entry'!C182))</f>
        <v/>
      </c>
      <c r="C182" s="104" t="str">
        <f>IF(ISBLANK('Eid List Entry'!D182),"",('Eid List Entry'!D182))</f>
        <v/>
      </c>
      <c r="D182" s="138" t="str">
        <f>IF(ISBLANK('Eid List Entry'!C182),"",('Eid List Entry'!$H$7))</f>
        <v/>
      </c>
      <c r="E182" s="129" t="str">
        <f>IF(ISBLANK('Eid List Entry'!C182),"",('Eid List Entry'!$H$8))</f>
        <v/>
      </c>
      <c r="F182" s="140" t="str">
        <f>IF(ISBLANK('Eid List Entry'!C182),"",TEXT(('Eid List Entry'!$H$3),"MM/DD/YY"))</f>
        <v/>
      </c>
      <c r="G182" s="104" t="str">
        <f>IF(ISBLANK('Eid List Entry'!C182),"",('Eid List Entry'!$H$5))</f>
        <v/>
      </c>
    </row>
    <row r="183" spans="1:7" x14ac:dyDescent="0.25">
      <c r="A183" s="104" t="str">
        <f>'Eid List Entry'!B183</f>
        <v xml:space="preserve"> </v>
      </c>
      <c r="B183" s="104" t="str">
        <f>IF(ISBLANK('Eid List Entry'!C183),"",('Eid List Entry'!C183))</f>
        <v/>
      </c>
      <c r="C183" s="104" t="str">
        <f>IF(ISBLANK('Eid List Entry'!D183),"",('Eid List Entry'!D183))</f>
        <v/>
      </c>
      <c r="D183" s="138" t="str">
        <f>IF(ISBLANK('Eid List Entry'!C183),"",('Eid List Entry'!$H$7))</f>
        <v/>
      </c>
      <c r="E183" s="129" t="str">
        <f>IF(ISBLANK('Eid List Entry'!C183),"",('Eid List Entry'!$H$8))</f>
        <v/>
      </c>
      <c r="F183" s="140" t="str">
        <f>IF(ISBLANK('Eid List Entry'!C183),"",TEXT(('Eid List Entry'!$H$3),"MM/DD/YY"))</f>
        <v/>
      </c>
      <c r="G183" s="104" t="str">
        <f>IF(ISBLANK('Eid List Entry'!C183),"",('Eid List Entry'!$H$5))</f>
        <v/>
      </c>
    </row>
    <row r="184" spans="1:7" x14ac:dyDescent="0.25">
      <c r="A184" s="104" t="str">
        <f>'Eid List Entry'!B184</f>
        <v xml:space="preserve"> </v>
      </c>
      <c r="B184" s="104" t="str">
        <f>IF(ISBLANK('Eid List Entry'!C184),"",('Eid List Entry'!C184))</f>
        <v/>
      </c>
      <c r="C184" s="104" t="str">
        <f>IF(ISBLANK('Eid List Entry'!D184),"",('Eid List Entry'!D184))</f>
        <v/>
      </c>
      <c r="D184" s="138" t="str">
        <f>IF(ISBLANK('Eid List Entry'!C184),"",('Eid List Entry'!$H$7))</f>
        <v/>
      </c>
      <c r="E184" s="129" t="str">
        <f>IF(ISBLANK('Eid List Entry'!C184),"",('Eid List Entry'!$H$8))</f>
        <v/>
      </c>
      <c r="F184" s="140" t="str">
        <f>IF(ISBLANK('Eid List Entry'!C184),"",TEXT(('Eid List Entry'!$H$3),"MM/DD/YY"))</f>
        <v/>
      </c>
      <c r="G184" s="104" t="str">
        <f>IF(ISBLANK('Eid List Entry'!C184),"",('Eid List Entry'!$H$5))</f>
        <v/>
      </c>
    </row>
    <row r="185" spans="1:7" x14ac:dyDescent="0.25">
      <c r="A185" s="104" t="str">
        <f>'Eid List Entry'!B185</f>
        <v xml:space="preserve"> </v>
      </c>
      <c r="B185" s="104" t="str">
        <f>IF(ISBLANK('Eid List Entry'!C185),"",('Eid List Entry'!C185))</f>
        <v/>
      </c>
      <c r="C185" s="104" t="str">
        <f>IF(ISBLANK('Eid List Entry'!D185),"",('Eid List Entry'!D185))</f>
        <v/>
      </c>
      <c r="D185" s="138" t="str">
        <f>IF(ISBLANK('Eid List Entry'!C185),"",('Eid List Entry'!$H$7))</f>
        <v/>
      </c>
      <c r="E185" s="129" t="str">
        <f>IF(ISBLANK('Eid List Entry'!C185),"",('Eid List Entry'!$H$8))</f>
        <v/>
      </c>
      <c r="F185" s="140" t="str">
        <f>IF(ISBLANK('Eid List Entry'!C185),"",TEXT(('Eid List Entry'!$H$3),"MM/DD/YY"))</f>
        <v/>
      </c>
      <c r="G185" s="104" t="str">
        <f>IF(ISBLANK('Eid List Entry'!C185),"",('Eid List Entry'!$H$5))</f>
        <v/>
      </c>
    </row>
    <row r="186" spans="1:7" x14ac:dyDescent="0.25">
      <c r="A186" s="104" t="str">
        <f>'Eid List Entry'!B186</f>
        <v xml:space="preserve"> </v>
      </c>
      <c r="B186" s="104" t="str">
        <f>IF(ISBLANK('Eid List Entry'!C186),"",('Eid List Entry'!C186))</f>
        <v/>
      </c>
      <c r="C186" s="104" t="str">
        <f>IF(ISBLANK('Eid List Entry'!D186),"",('Eid List Entry'!D186))</f>
        <v/>
      </c>
      <c r="D186" s="138" t="str">
        <f>IF(ISBLANK('Eid List Entry'!C186),"",('Eid List Entry'!$H$7))</f>
        <v/>
      </c>
      <c r="E186" s="129" t="str">
        <f>IF(ISBLANK('Eid List Entry'!C186),"",('Eid List Entry'!$H$8))</f>
        <v/>
      </c>
      <c r="F186" s="140" t="str">
        <f>IF(ISBLANK('Eid List Entry'!C186),"",TEXT(('Eid List Entry'!$H$3),"MM/DD/YY"))</f>
        <v/>
      </c>
      <c r="G186" s="104" t="str">
        <f>IF(ISBLANK('Eid List Entry'!C186),"",('Eid List Entry'!$H$5))</f>
        <v/>
      </c>
    </row>
    <row r="187" spans="1:7" x14ac:dyDescent="0.25">
      <c r="A187" s="104" t="str">
        <f>'Eid List Entry'!B187</f>
        <v xml:space="preserve"> </v>
      </c>
      <c r="B187" s="104" t="str">
        <f>IF(ISBLANK('Eid List Entry'!C187),"",('Eid List Entry'!C187))</f>
        <v/>
      </c>
      <c r="C187" s="104" t="str">
        <f>IF(ISBLANK('Eid List Entry'!D187),"",('Eid List Entry'!D187))</f>
        <v/>
      </c>
      <c r="D187" s="138" t="str">
        <f>IF(ISBLANK('Eid List Entry'!C187),"",('Eid List Entry'!$H$7))</f>
        <v/>
      </c>
      <c r="E187" s="129" t="str">
        <f>IF(ISBLANK('Eid List Entry'!C187),"",('Eid List Entry'!$H$8))</f>
        <v/>
      </c>
      <c r="F187" s="140" t="str">
        <f>IF(ISBLANK('Eid List Entry'!C187),"",TEXT(('Eid List Entry'!$H$3),"MM/DD/YY"))</f>
        <v/>
      </c>
      <c r="G187" s="104" t="str">
        <f>IF(ISBLANK('Eid List Entry'!C187),"",('Eid List Entry'!$H$5))</f>
        <v/>
      </c>
    </row>
    <row r="188" spans="1:7" x14ac:dyDescent="0.25">
      <c r="A188" s="104" t="str">
        <f>'Eid List Entry'!B188</f>
        <v xml:space="preserve"> </v>
      </c>
      <c r="B188" s="104" t="str">
        <f>IF(ISBLANK('Eid List Entry'!C188),"",('Eid List Entry'!C188))</f>
        <v/>
      </c>
      <c r="C188" s="104" t="str">
        <f>IF(ISBLANK('Eid List Entry'!D188),"",('Eid List Entry'!D188))</f>
        <v/>
      </c>
      <c r="D188" s="138" t="str">
        <f>IF(ISBLANK('Eid List Entry'!C188),"",('Eid List Entry'!$H$7))</f>
        <v/>
      </c>
      <c r="E188" s="129" t="str">
        <f>IF(ISBLANK('Eid List Entry'!C188),"",('Eid List Entry'!$H$8))</f>
        <v/>
      </c>
      <c r="F188" s="140" t="str">
        <f>IF(ISBLANK('Eid List Entry'!C188),"",TEXT(('Eid List Entry'!$H$3),"MM/DD/YY"))</f>
        <v/>
      </c>
      <c r="G188" s="104" t="str">
        <f>IF(ISBLANK('Eid List Entry'!C188),"",('Eid List Entry'!$H$5))</f>
        <v/>
      </c>
    </row>
    <row r="189" spans="1:7" x14ac:dyDescent="0.25">
      <c r="A189" s="104" t="str">
        <f>'Eid List Entry'!B189</f>
        <v xml:space="preserve"> </v>
      </c>
      <c r="B189" s="104" t="str">
        <f>IF(ISBLANK('Eid List Entry'!C189),"",('Eid List Entry'!C189))</f>
        <v/>
      </c>
      <c r="C189" s="104" t="str">
        <f>IF(ISBLANK('Eid List Entry'!D189),"",('Eid List Entry'!D189))</f>
        <v/>
      </c>
      <c r="D189" s="138" t="str">
        <f>IF(ISBLANK('Eid List Entry'!C189),"",('Eid List Entry'!$H$7))</f>
        <v/>
      </c>
      <c r="E189" s="129" t="str">
        <f>IF(ISBLANK('Eid List Entry'!C189),"",('Eid List Entry'!$H$8))</f>
        <v/>
      </c>
      <c r="F189" s="140" t="str">
        <f>IF(ISBLANK('Eid List Entry'!C189),"",TEXT(('Eid List Entry'!$H$3),"MM/DD/YY"))</f>
        <v/>
      </c>
      <c r="G189" s="104" t="str">
        <f>IF(ISBLANK('Eid List Entry'!C189),"",('Eid List Entry'!$H$5))</f>
        <v/>
      </c>
    </row>
    <row r="190" spans="1:7" x14ac:dyDescent="0.25">
      <c r="A190" s="104" t="str">
        <f>'Eid List Entry'!B190</f>
        <v xml:space="preserve"> </v>
      </c>
      <c r="B190" s="104" t="str">
        <f>IF(ISBLANK('Eid List Entry'!C190),"",('Eid List Entry'!C190))</f>
        <v/>
      </c>
      <c r="C190" s="104" t="str">
        <f>IF(ISBLANK('Eid List Entry'!D190),"",('Eid List Entry'!D190))</f>
        <v/>
      </c>
      <c r="D190" s="138" t="str">
        <f>IF(ISBLANK('Eid List Entry'!C190),"",('Eid List Entry'!$H$7))</f>
        <v/>
      </c>
      <c r="E190" s="129" t="str">
        <f>IF(ISBLANK('Eid List Entry'!C190),"",('Eid List Entry'!$H$8))</f>
        <v/>
      </c>
      <c r="F190" s="140" t="str">
        <f>IF(ISBLANK('Eid List Entry'!C190),"",TEXT(('Eid List Entry'!$H$3),"MM/DD/YY"))</f>
        <v/>
      </c>
      <c r="G190" s="104" t="str">
        <f>IF(ISBLANK('Eid List Entry'!C190),"",('Eid List Entry'!$H$5))</f>
        <v/>
      </c>
    </row>
    <row r="191" spans="1:7" x14ac:dyDescent="0.25">
      <c r="A191" s="104" t="str">
        <f>'Eid List Entry'!B191</f>
        <v xml:space="preserve"> </v>
      </c>
      <c r="B191" s="104" t="str">
        <f>IF(ISBLANK('Eid List Entry'!C191),"",('Eid List Entry'!C191))</f>
        <v/>
      </c>
      <c r="C191" s="104" t="str">
        <f>IF(ISBLANK('Eid List Entry'!D191),"",('Eid List Entry'!D191))</f>
        <v/>
      </c>
      <c r="D191" s="138" t="str">
        <f>IF(ISBLANK('Eid List Entry'!C191),"",('Eid List Entry'!$H$7))</f>
        <v/>
      </c>
      <c r="E191" s="129" t="str">
        <f>IF(ISBLANK('Eid List Entry'!C191),"",('Eid List Entry'!$H$8))</f>
        <v/>
      </c>
      <c r="F191" s="140" t="str">
        <f>IF(ISBLANK('Eid List Entry'!C191),"",TEXT(('Eid List Entry'!$H$3),"MM/DD/YY"))</f>
        <v/>
      </c>
      <c r="G191" s="104" t="str">
        <f>IF(ISBLANK('Eid List Entry'!C191),"",('Eid List Entry'!$H$5))</f>
        <v/>
      </c>
    </row>
    <row r="192" spans="1:7" x14ac:dyDescent="0.25">
      <c r="A192" s="104" t="str">
        <f>'Eid List Entry'!B192</f>
        <v xml:space="preserve"> </v>
      </c>
      <c r="B192" s="104" t="str">
        <f>IF(ISBLANK('Eid List Entry'!C192),"",('Eid List Entry'!C192))</f>
        <v/>
      </c>
      <c r="C192" s="104" t="str">
        <f>IF(ISBLANK('Eid List Entry'!D192),"",('Eid List Entry'!D192))</f>
        <v/>
      </c>
      <c r="D192" s="138" t="str">
        <f>IF(ISBLANK('Eid List Entry'!C192),"",('Eid List Entry'!$H$7))</f>
        <v/>
      </c>
      <c r="E192" s="129" t="str">
        <f>IF(ISBLANK('Eid List Entry'!C192),"",('Eid List Entry'!$H$8))</f>
        <v/>
      </c>
      <c r="F192" s="140" t="str">
        <f>IF(ISBLANK('Eid List Entry'!C192),"",TEXT(('Eid List Entry'!$H$3),"MM/DD/YY"))</f>
        <v/>
      </c>
      <c r="G192" s="104" t="str">
        <f>IF(ISBLANK('Eid List Entry'!C192),"",('Eid List Entry'!$H$5))</f>
        <v/>
      </c>
    </row>
    <row r="193" spans="1:7" x14ac:dyDescent="0.25">
      <c r="A193" s="104" t="str">
        <f>'Eid List Entry'!B193</f>
        <v xml:space="preserve"> </v>
      </c>
      <c r="B193" s="104" t="str">
        <f>IF(ISBLANK('Eid List Entry'!C193),"",('Eid List Entry'!C193))</f>
        <v/>
      </c>
      <c r="C193" s="104" t="str">
        <f>IF(ISBLANK('Eid List Entry'!D193),"",('Eid List Entry'!D193))</f>
        <v/>
      </c>
      <c r="D193" s="138" t="str">
        <f>IF(ISBLANK('Eid List Entry'!C193),"",('Eid List Entry'!$H$7))</f>
        <v/>
      </c>
      <c r="E193" s="129" t="str">
        <f>IF(ISBLANK('Eid List Entry'!C193),"",('Eid List Entry'!$H$8))</f>
        <v/>
      </c>
      <c r="F193" s="140" t="str">
        <f>IF(ISBLANK('Eid List Entry'!C193),"",TEXT(('Eid List Entry'!$H$3),"MM/DD/YY"))</f>
        <v/>
      </c>
      <c r="G193" s="104" t="str">
        <f>IF(ISBLANK('Eid List Entry'!C193),"",('Eid List Entry'!$H$5))</f>
        <v/>
      </c>
    </row>
    <row r="194" spans="1:7" x14ac:dyDescent="0.25">
      <c r="A194" s="104" t="str">
        <f>'Eid List Entry'!B194</f>
        <v xml:space="preserve"> </v>
      </c>
      <c r="B194" s="104" t="str">
        <f>IF(ISBLANK('Eid List Entry'!C194),"",('Eid List Entry'!C194))</f>
        <v/>
      </c>
      <c r="C194" s="104" t="str">
        <f>IF(ISBLANK('Eid List Entry'!D194),"",('Eid List Entry'!D194))</f>
        <v/>
      </c>
      <c r="D194" s="138" t="str">
        <f>IF(ISBLANK('Eid List Entry'!C194),"",('Eid List Entry'!$H$7))</f>
        <v/>
      </c>
      <c r="E194" s="129" t="str">
        <f>IF(ISBLANK('Eid List Entry'!C194),"",('Eid List Entry'!$H$8))</f>
        <v/>
      </c>
      <c r="F194" s="140" t="str">
        <f>IF(ISBLANK('Eid List Entry'!C194),"",TEXT(('Eid List Entry'!$H$3),"MM/DD/YY"))</f>
        <v/>
      </c>
      <c r="G194" s="104" t="str">
        <f>IF(ISBLANK('Eid List Entry'!C194),"",('Eid List Entry'!$H$5))</f>
        <v/>
      </c>
    </row>
    <row r="195" spans="1:7" x14ac:dyDescent="0.25">
      <c r="A195" s="104" t="str">
        <f>'Eid List Entry'!B195</f>
        <v xml:space="preserve"> </v>
      </c>
      <c r="B195" s="104" t="str">
        <f>IF(ISBLANK('Eid List Entry'!C195),"",('Eid List Entry'!C195))</f>
        <v/>
      </c>
      <c r="C195" s="104" t="str">
        <f>IF(ISBLANK('Eid List Entry'!D195),"",('Eid List Entry'!D195))</f>
        <v/>
      </c>
      <c r="D195" s="138" t="str">
        <f>IF(ISBLANK('Eid List Entry'!C195),"",('Eid List Entry'!$H$7))</f>
        <v/>
      </c>
      <c r="E195" s="129" t="str">
        <f>IF(ISBLANK('Eid List Entry'!C195),"",('Eid List Entry'!$H$8))</f>
        <v/>
      </c>
      <c r="F195" s="140" t="str">
        <f>IF(ISBLANK('Eid List Entry'!C195),"",TEXT(('Eid List Entry'!$H$3),"MM/DD/YY"))</f>
        <v/>
      </c>
      <c r="G195" s="104" t="str">
        <f>IF(ISBLANK('Eid List Entry'!C195),"",('Eid List Entry'!$H$5))</f>
        <v/>
      </c>
    </row>
    <row r="196" spans="1:7" x14ac:dyDescent="0.25">
      <c r="A196" s="104" t="str">
        <f>'Eid List Entry'!B196</f>
        <v xml:space="preserve"> </v>
      </c>
      <c r="B196" s="104" t="str">
        <f>IF(ISBLANK('Eid List Entry'!C196),"",('Eid List Entry'!C196))</f>
        <v/>
      </c>
      <c r="C196" s="104" t="str">
        <f>IF(ISBLANK('Eid List Entry'!D196),"",('Eid List Entry'!D196))</f>
        <v/>
      </c>
      <c r="D196" s="138" t="str">
        <f>IF(ISBLANK('Eid List Entry'!C196),"",('Eid List Entry'!$H$7))</f>
        <v/>
      </c>
      <c r="E196" s="129" t="str">
        <f>IF(ISBLANK('Eid List Entry'!C196),"",('Eid List Entry'!$H$8))</f>
        <v/>
      </c>
      <c r="F196" s="140" t="str">
        <f>IF(ISBLANK('Eid List Entry'!C196),"",TEXT(('Eid List Entry'!$H$3),"MM/DD/YY"))</f>
        <v/>
      </c>
      <c r="G196" s="104" t="str">
        <f>IF(ISBLANK('Eid List Entry'!C196),"",('Eid List Entry'!$H$5))</f>
        <v/>
      </c>
    </row>
    <row r="197" spans="1:7" x14ac:dyDescent="0.25">
      <c r="A197" s="104" t="str">
        <f>'Eid List Entry'!B197</f>
        <v xml:space="preserve"> </v>
      </c>
      <c r="B197" s="104" t="str">
        <f>IF(ISBLANK('Eid List Entry'!C197),"",('Eid List Entry'!C197))</f>
        <v/>
      </c>
      <c r="C197" s="104" t="str">
        <f>IF(ISBLANK('Eid List Entry'!D197),"",('Eid List Entry'!D197))</f>
        <v/>
      </c>
      <c r="D197" s="138" t="str">
        <f>IF(ISBLANK('Eid List Entry'!C197),"",('Eid List Entry'!$H$7))</f>
        <v/>
      </c>
      <c r="E197" s="129" t="str">
        <f>IF(ISBLANK('Eid List Entry'!C197),"",('Eid List Entry'!$H$8))</f>
        <v/>
      </c>
      <c r="F197" s="140" t="str">
        <f>IF(ISBLANK('Eid List Entry'!C197),"",TEXT(('Eid List Entry'!$H$3),"MM/DD/YY"))</f>
        <v/>
      </c>
      <c r="G197" s="104" t="str">
        <f>IF(ISBLANK('Eid List Entry'!C197),"",('Eid List Entry'!$H$5))</f>
        <v/>
      </c>
    </row>
    <row r="198" spans="1:7" x14ac:dyDescent="0.25">
      <c r="A198" s="104" t="str">
        <f>'Eid List Entry'!B198</f>
        <v xml:space="preserve"> </v>
      </c>
      <c r="B198" s="104" t="str">
        <f>IF(ISBLANK('Eid List Entry'!C198),"",('Eid List Entry'!C198))</f>
        <v/>
      </c>
      <c r="C198" s="104" t="str">
        <f>IF(ISBLANK('Eid List Entry'!D198),"",('Eid List Entry'!D198))</f>
        <v/>
      </c>
      <c r="D198" s="138" t="str">
        <f>IF(ISBLANK('Eid List Entry'!C198),"",('Eid List Entry'!$H$7))</f>
        <v/>
      </c>
      <c r="E198" s="129" t="str">
        <f>IF(ISBLANK('Eid List Entry'!C198),"",('Eid List Entry'!$H$8))</f>
        <v/>
      </c>
      <c r="F198" s="140" t="str">
        <f>IF(ISBLANK('Eid List Entry'!C198),"",TEXT(('Eid List Entry'!$H$3),"MM/DD/YY"))</f>
        <v/>
      </c>
      <c r="G198" s="104" t="str">
        <f>IF(ISBLANK('Eid List Entry'!C198),"",('Eid List Entry'!$H$5))</f>
        <v/>
      </c>
    </row>
    <row r="199" spans="1:7" x14ac:dyDescent="0.25">
      <c r="A199" s="104" t="str">
        <f>'Eid List Entry'!B199</f>
        <v xml:space="preserve"> </v>
      </c>
      <c r="B199" s="104" t="str">
        <f>IF(ISBLANK('Eid List Entry'!C199),"",('Eid List Entry'!C199))</f>
        <v/>
      </c>
      <c r="C199" s="104" t="str">
        <f>IF(ISBLANK('Eid List Entry'!D199),"",('Eid List Entry'!D199))</f>
        <v/>
      </c>
      <c r="D199" s="138" t="str">
        <f>IF(ISBLANK('Eid List Entry'!C199),"",('Eid List Entry'!$H$7))</f>
        <v/>
      </c>
      <c r="E199" s="129" t="str">
        <f>IF(ISBLANK('Eid List Entry'!C199),"",('Eid List Entry'!$H$8))</f>
        <v/>
      </c>
      <c r="F199" s="140" t="str">
        <f>IF(ISBLANK('Eid List Entry'!C199),"",TEXT(('Eid List Entry'!$H$3),"MM/DD/YY"))</f>
        <v/>
      </c>
      <c r="G199" s="104" t="str">
        <f>IF(ISBLANK('Eid List Entry'!C199),"",('Eid List Entry'!$H$5))</f>
        <v/>
      </c>
    </row>
    <row r="200" spans="1:7" x14ac:dyDescent="0.25">
      <c r="A200" s="104" t="str">
        <f>'Eid List Entry'!B200</f>
        <v xml:space="preserve"> </v>
      </c>
      <c r="B200" s="104" t="str">
        <f>IF(ISBLANK('Eid List Entry'!C200),"",('Eid List Entry'!C200))</f>
        <v/>
      </c>
      <c r="C200" s="104" t="str">
        <f>IF(ISBLANK('Eid List Entry'!D200),"",('Eid List Entry'!D200))</f>
        <v/>
      </c>
      <c r="D200" s="138" t="str">
        <f>IF(ISBLANK('Eid List Entry'!C200),"",('Eid List Entry'!$H$7))</f>
        <v/>
      </c>
      <c r="E200" s="129" t="str">
        <f>IF(ISBLANK('Eid List Entry'!C200),"",('Eid List Entry'!$H$8))</f>
        <v/>
      </c>
      <c r="F200" s="140" t="str">
        <f>IF(ISBLANK('Eid List Entry'!C200),"",TEXT(('Eid List Entry'!$H$3),"MM/DD/YY"))</f>
        <v/>
      </c>
      <c r="G200" s="104" t="str">
        <f>IF(ISBLANK('Eid List Entry'!C200),"",('Eid List Entry'!$H$5))</f>
        <v/>
      </c>
    </row>
    <row r="201" spans="1:7" x14ac:dyDescent="0.25">
      <c r="A201" s="104" t="str">
        <f>'Eid List Entry'!B201</f>
        <v xml:space="preserve"> </v>
      </c>
      <c r="B201" s="104" t="str">
        <f>IF(ISBLANK('Eid List Entry'!C201),"",('Eid List Entry'!C201))</f>
        <v/>
      </c>
      <c r="C201" s="104" t="str">
        <f>IF(ISBLANK('Eid List Entry'!D201),"",('Eid List Entry'!D201))</f>
        <v/>
      </c>
      <c r="D201" s="138" t="str">
        <f>IF(ISBLANK('Eid List Entry'!C201),"",('Eid List Entry'!$H$7))</f>
        <v/>
      </c>
      <c r="E201" s="129" t="str">
        <f>IF(ISBLANK('Eid List Entry'!C201),"",('Eid List Entry'!$H$8))</f>
        <v/>
      </c>
      <c r="F201" s="140" t="str">
        <f>IF(ISBLANK('Eid List Entry'!C201),"",TEXT(('Eid List Entry'!$H$3),"MM/DD/YY"))</f>
        <v/>
      </c>
      <c r="G201" s="104" t="str">
        <f>IF(ISBLANK('Eid List Entry'!C201),"",('Eid List Entry'!$H$5))</f>
        <v/>
      </c>
    </row>
    <row r="202" spans="1:7" x14ac:dyDescent="0.25">
      <c r="A202" s="104" t="str">
        <f>'Eid List Entry'!B202</f>
        <v xml:space="preserve"> </v>
      </c>
      <c r="B202" s="104" t="str">
        <f>IF(ISBLANK('Eid List Entry'!C202),"",('Eid List Entry'!C202))</f>
        <v/>
      </c>
      <c r="C202" s="104" t="str">
        <f>IF(ISBLANK('Eid List Entry'!D202),"",('Eid List Entry'!D202))</f>
        <v/>
      </c>
      <c r="D202" s="138" t="str">
        <f>IF(ISBLANK('Eid List Entry'!C202),"",('Eid List Entry'!$H$7))</f>
        <v/>
      </c>
      <c r="E202" s="129" t="str">
        <f>IF(ISBLANK('Eid List Entry'!C202),"",('Eid List Entry'!$H$8))</f>
        <v/>
      </c>
      <c r="F202" s="140" t="str">
        <f>IF(ISBLANK('Eid List Entry'!C202),"",TEXT(('Eid List Entry'!$H$3),"MM/DD/YY"))</f>
        <v/>
      </c>
      <c r="G202" s="104" t="str">
        <f>IF(ISBLANK('Eid List Entry'!C202),"",('Eid List Entry'!$H$5))</f>
        <v/>
      </c>
    </row>
    <row r="203" spans="1:7" x14ac:dyDescent="0.25">
      <c r="A203" s="104" t="str">
        <f>'Eid List Entry'!B203</f>
        <v xml:space="preserve"> </v>
      </c>
      <c r="B203" s="104" t="str">
        <f>IF(ISBLANK('Eid List Entry'!C203),"",('Eid List Entry'!C203))</f>
        <v/>
      </c>
      <c r="C203" s="104" t="str">
        <f>IF(ISBLANK('Eid List Entry'!D203),"",('Eid List Entry'!D203))</f>
        <v/>
      </c>
      <c r="D203" s="138" t="str">
        <f>IF(ISBLANK('Eid List Entry'!C203),"",('Eid List Entry'!$H$7))</f>
        <v/>
      </c>
      <c r="E203" s="129" t="str">
        <f>IF(ISBLANK('Eid List Entry'!C203),"",('Eid List Entry'!$H$8))</f>
        <v/>
      </c>
      <c r="F203" s="140" t="str">
        <f>IF(ISBLANK('Eid List Entry'!C203),"",TEXT(('Eid List Entry'!$H$3),"MM/DD/YY"))</f>
        <v/>
      </c>
      <c r="G203" s="104" t="str">
        <f>IF(ISBLANK('Eid List Entry'!C203),"",('Eid List Entry'!$H$5))</f>
        <v/>
      </c>
    </row>
    <row r="204" spans="1:7" x14ac:dyDescent="0.25">
      <c r="A204" s="104" t="str">
        <f>'Eid List Entry'!B204</f>
        <v xml:space="preserve"> </v>
      </c>
      <c r="B204" s="104" t="str">
        <f>IF(ISBLANK('Eid List Entry'!C204),"",('Eid List Entry'!C204))</f>
        <v/>
      </c>
      <c r="C204" s="104" t="str">
        <f>IF(ISBLANK('Eid List Entry'!D204),"",('Eid List Entry'!D204))</f>
        <v/>
      </c>
      <c r="D204" s="138" t="str">
        <f>IF(ISBLANK('Eid List Entry'!C204),"",('Eid List Entry'!$H$7))</f>
        <v/>
      </c>
      <c r="E204" s="129" t="str">
        <f>IF(ISBLANK('Eid List Entry'!C204),"",('Eid List Entry'!$H$8))</f>
        <v/>
      </c>
      <c r="F204" s="140" t="str">
        <f>IF(ISBLANK('Eid List Entry'!C204),"",TEXT(('Eid List Entry'!$H$3),"MM/DD/YY"))</f>
        <v/>
      </c>
      <c r="G204" s="104" t="str">
        <f>IF(ISBLANK('Eid List Entry'!C204),"",('Eid List Entry'!$H$5))</f>
        <v/>
      </c>
    </row>
    <row r="205" spans="1:7" x14ac:dyDescent="0.25">
      <c r="A205" s="104" t="str">
        <f>'Eid List Entry'!B205</f>
        <v xml:space="preserve"> </v>
      </c>
      <c r="B205" s="104" t="str">
        <f>IF(ISBLANK('Eid List Entry'!C205),"",('Eid List Entry'!C205))</f>
        <v/>
      </c>
      <c r="C205" s="104" t="str">
        <f>IF(ISBLANK('Eid List Entry'!D205),"",('Eid List Entry'!D205))</f>
        <v/>
      </c>
      <c r="D205" s="138" t="str">
        <f>IF(ISBLANK('Eid List Entry'!C205),"",('Eid List Entry'!$H$7))</f>
        <v/>
      </c>
      <c r="E205" s="129" t="str">
        <f>IF(ISBLANK('Eid List Entry'!C205),"",('Eid List Entry'!$H$8))</f>
        <v/>
      </c>
      <c r="F205" s="140" t="str">
        <f>IF(ISBLANK('Eid List Entry'!C205),"",TEXT(('Eid List Entry'!$H$3),"MM/DD/YY"))</f>
        <v/>
      </c>
      <c r="G205" s="104" t="str">
        <f>IF(ISBLANK('Eid List Entry'!C205),"",('Eid List Entry'!$H$5))</f>
        <v/>
      </c>
    </row>
    <row r="206" spans="1:7" x14ac:dyDescent="0.25">
      <c r="A206" s="104" t="str">
        <f>'Eid List Entry'!B206</f>
        <v xml:space="preserve"> </v>
      </c>
      <c r="B206" s="104" t="str">
        <f>IF(ISBLANK('Eid List Entry'!C206),"",('Eid List Entry'!C206))</f>
        <v/>
      </c>
      <c r="C206" s="104" t="str">
        <f>IF(ISBLANK('Eid List Entry'!D206),"",('Eid List Entry'!D206))</f>
        <v/>
      </c>
      <c r="D206" s="138" t="str">
        <f>IF(ISBLANK('Eid List Entry'!C206),"",('Eid List Entry'!$H$7))</f>
        <v/>
      </c>
      <c r="E206" s="129" t="str">
        <f>IF(ISBLANK('Eid List Entry'!C206),"",('Eid List Entry'!$H$8))</f>
        <v/>
      </c>
      <c r="F206" s="140" t="str">
        <f>IF(ISBLANK('Eid List Entry'!C206),"",TEXT(('Eid List Entry'!$H$3),"MM/DD/YY"))</f>
        <v/>
      </c>
      <c r="G206" s="104" t="str">
        <f>IF(ISBLANK('Eid List Entry'!C206),"",('Eid List Entry'!$H$5))</f>
        <v/>
      </c>
    </row>
    <row r="207" spans="1:7" x14ac:dyDescent="0.25">
      <c r="A207" s="104" t="str">
        <f>'Eid List Entry'!B207</f>
        <v xml:space="preserve"> </v>
      </c>
      <c r="B207" s="104" t="str">
        <f>IF(ISBLANK('Eid List Entry'!C207),"",('Eid List Entry'!C207))</f>
        <v/>
      </c>
      <c r="C207" s="104" t="str">
        <f>IF(ISBLANK('Eid List Entry'!D207),"",('Eid List Entry'!D207))</f>
        <v/>
      </c>
      <c r="D207" s="138" t="str">
        <f>IF(ISBLANK('Eid List Entry'!C207),"",('Eid List Entry'!$H$7))</f>
        <v/>
      </c>
      <c r="E207" s="129" t="str">
        <f>IF(ISBLANK('Eid List Entry'!C207),"",('Eid List Entry'!$H$8))</f>
        <v/>
      </c>
      <c r="F207" s="140" t="str">
        <f>IF(ISBLANK('Eid List Entry'!C207),"",TEXT(('Eid List Entry'!$H$3),"MM/DD/YY"))</f>
        <v/>
      </c>
      <c r="G207" s="104" t="str">
        <f>IF(ISBLANK('Eid List Entry'!C207),"",('Eid List Entry'!$H$5))</f>
        <v/>
      </c>
    </row>
    <row r="208" spans="1:7" x14ac:dyDescent="0.25">
      <c r="A208" s="104" t="str">
        <f>'Eid List Entry'!B208</f>
        <v xml:space="preserve"> </v>
      </c>
      <c r="B208" s="104" t="str">
        <f>IF(ISBLANK('Eid List Entry'!C208),"",('Eid List Entry'!C208))</f>
        <v/>
      </c>
      <c r="C208" s="104" t="str">
        <f>IF(ISBLANK('Eid List Entry'!D208),"",('Eid List Entry'!D208))</f>
        <v/>
      </c>
      <c r="D208" s="138" t="str">
        <f>IF(ISBLANK('Eid List Entry'!C208),"",('Eid List Entry'!$H$7))</f>
        <v/>
      </c>
      <c r="E208" s="129" t="str">
        <f>IF(ISBLANK('Eid List Entry'!C208),"",('Eid List Entry'!$H$8))</f>
        <v/>
      </c>
      <c r="F208" s="140" t="str">
        <f>IF(ISBLANK('Eid List Entry'!C208),"",TEXT(('Eid List Entry'!$H$3),"MM/DD/YY"))</f>
        <v/>
      </c>
      <c r="G208" s="104" t="str">
        <f>IF(ISBLANK('Eid List Entry'!C208),"",('Eid List Entry'!$H$5))</f>
        <v/>
      </c>
    </row>
    <row r="209" spans="1:7" x14ac:dyDescent="0.25">
      <c r="A209" s="104" t="str">
        <f>'Eid List Entry'!B209</f>
        <v xml:space="preserve"> </v>
      </c>
      <c r="B209" s="104" t="str">
        <f>IF(ISBLANK('Eid List Entry'!C209),"",('Eid List Entry'!C209))</f>
        <v/>
      </c>
      <c r="C209" s="104" t="str">
        <f>IF(ISBLANK('Eid List Entry'!D209),"",('Eid List Entry'!D209))</f>
        <v/>
      </c>
      <c r="D209" s="138" t="str">
        <f>IF(ISBLANK('Eid List Entry'!C209),"",('Eid List Entry'!$H$7))</f>
        <v/>
      </c>
      <c r="E209" s="129" t="str">
        <f>IF(ISBLANK('Eid List Entry'!C209),"",('Eid List Entry'!$H$8))</f>
        <v/>
      </c>
      <c r="F209" s="140" t="str">
        <f>IF(ISBLANK('Eid List Entry'!C209),"",TEXT(('Eid List Entry'!$H$3),"MM/DD/YY"))</f>
        <v/>
      </c>
      <c r="G209" s="104" t="str">
        <f>IF(ISBLANK('Eid List Entry'!C209),"",('Eid List Entry'!$H$5))</f>
        <v/>
      </c>
    </row>
    <row r="210" spans="1:7" x14ac:dyDescent="0.25">
      <c r="A210" s="104" t="str">
        <f>'Eid List Entry'!B210</f>
        <v xml:space="preserve"> </v>
      </c>
      <c r="B210" s="104" t="str">
        <f>IF(ISBLANK('Eid List Entry'!C210),"",('Eid List Entry'!C210))</f>
        <v/>
      </c>
      <c r="C210" s="104" t="str">
        <f>IF(ISBLANK('Eid List Entry'!D210),"",('Eid List Entry'!D210))</f>
        <v/>
      </c>
      <c r="D210" s="138" t="str">
        <f>IF(ISBLANK('Eid List Entry'!C210),"",('Eid List Entry'!$H$7))</f>
        <v/>
      </c>
      <c r="E210" s="129" t="str">
        <f>IF(ISBLANK('Eid List Entry'!C210),"",('Eid List Entry'!$H$8))</f>
        <v/>
      </c>
      <c r="F210" s="140" t="str">
        <f>IF(ISBLANK('Eid List Entry'!C210),"",TEXT(('Eid List Entry'!$H$3),"MM/DD/YY"))</f>
        <v/>
      </c>
      <c r="G210" s="104" t="str">
        <f>IF(ISBLANK('Eid List Entry'!C210),"",('Eid List Entry'!$H$5))</f>
        <v/>
      </c>
    </row>
    <row r="211" spans="1:7" x14ac:dyDescent="0.25">
      <c r="A211" s="104" t="str">
        <f>'Eid List Entry'!B211</f>
        <v xml:space="preserve"> </v>
      </c>
      <c r="B211" s="104" t="str">
        <f>IF(ISBLANK('Eid List Entry'!C211),"",('Eid List Entry'!C211))</f>
        <v/>
      </c>
      <c r="C211" s="104" t="str">
        <f>IF(ISBLANK('Eid List Entry'!D211),"",('Eid List Entry'!D211))</f>
        <v/>
      </c>
      <c r="D211" s="138" t="str">
        <f>IF(ISBLANK('Eid List Entry'!C211),"",('Eid List Entry'!$H$7))</f>
        <v/>
      </c>
      <c r="E211" s="129" t="str">
        <f>IF(ISBLANK('Eid List Entry'!C211),"",('Eid List Entry'!$H$8))</f>
        <v/>
      </c>
      <c r="F211" s="140" t="str">
        <f>IF(ISBLANK('Eid List Entry'!C211),"",TEXT(('Eid List Entry'!$H$3),"MM/DD/YY"))</f>
        <v/>
      </c>
      <c r="G211" s="104" t="str">
        <f>IF(ISBLANK('Eid List Entry'!C211),"",('Eid List Entry'!$H$5))</f>
        <v/>
      </c>
    </row>
    <row r="212" spans="1:7" x14ac:dyDescent="0.25">
      <c r="A212" s="104" t="str">
        <f>'Eid List Entry'!B212</f>
        <v xml:space="preserve"> </v>
      </c>
      <c r="B212" s="104" t="str">
        <f>IF(ISBLANK('Eid List Entry'!C212),"",('Eid List Entry'!C212))</f>
        <v/>
      </c>
      <c r="C212" s="104" t="str">
        <f>IF(ISBLANK('Eid List Entry'!D212),"",('Eid List Entry'!D212))</f>
        <v/>
      </c>
      <c r="D212" s="138" t="str">
        <f>IF(ISBLANK('Eid List Entry'!C212),"",('Eid List Entry'!$H$7))</f>
        <v/>
      </c>
      <c r="E212" s="129" t="str">
        <f>IF(ISBLANK('Eid List Entry'!C212),"",('Eid List Entry'!$H$8))</f>
        <v/>
      </c>
      <c r="F212" s="140" t="str">
        <f>IF(ISBLANK('Eid List Entry'!C212),"",TEXT(('Eid List Entry'!$H$3),"MM/DD/YY"))</f>
        <v/>
      </c>
      <c r="G212" s="104" t="str">
        <f>IF(ISBLANK('Eid List Entry'!C212),"",('Eid List Entry'!$H$5))</f>
        <v/>
      </c>
    </row>
    <row r="213" spans="1:7" x14ac:dyDescent="0.25">
      <c r="A213" s="104" t="str">
        <f>'Eid List Entry'!B213</f>
        <v xml:space="preserve"> </v>
      </c>
      <c r="B213" s="104" t="str">
        <f>IF(ISBLANK('Eid List Entry'!C213),"",('Eid List Entry'!C213))</f>
        <v/>
      </c>
      <c r="C213" s="104" t="str">
        <f>IF(ISBLANK('Eid List Entry'!D213),"",('Eid List Entry'!D213))</f>
        <v/>
      </c>
      <c r="D213" s="138" t="str">
        <f>IF(ISBLANK('Eid List Entry'!C213),"",('Eid List Entry'!$H$7))</f>
        <v/>
      </c>
      <c r="E213" s="129" t="str">
        <f>IF(ISBLANK('Eid List Entry'!C213),"",('Eid List Entry'!$H$8))</f>
        <v/>
      </c>
      <c r="F213" s="140" t="str">
        <f>IF(ISBLANK('Eid List Entry'!C213),"",TEXT(('Eid List Entry'!$H$3),"MM/DD/YY"))</f>
        <v/>
      </c>
      <c r="G213" s="104" t="str">
        <f>IF(ISBLANK('Eid List Entry'!C213),"",('Eid List Entry'!$H$5))</f>
        <v/>
      </c>
    </row>
    <row r="214" spans="1:7" x14ac:dyDescent="0.25">
      <c r="A214" s="104" t="str">
        <f>'Eid List Entry'!B214</f>
        <v xml:space="preserve"> </v>
      </c>
      <c r="B214" s="104" t="str">
        <f>IF(ISBLANK('Eid List Entry'!C214),"",('Eid List Entry'!C214))</f>
        <v/>
      </c>
      <c r="C214" s="104" t="str">
        <f>IF(ISBLANK('Eid List Entry'!D214),"",('Eid List Entry'!D214))</f>
        <v/>
      </c>
      <c r="D214" s="138" t="str">
        <f>IF(ISBLANK('Eid List Entry'!C214),"",('Eid List Entry'!$H$7))</f>
        <v/>
      </c>
      <c r="E214" s="129" t="str">
        <f>IF(ISBLANK('Eid List Entry'!C214),"",('Eid List Entry'!$H$8))</f>
        <v/>
      </c>
      <c r="F214" s="140" t="str">
        <f>IF(ISBLANK('Eid List Entry'!C214),"",TEXT(('Eid List Entry'!$H$3),"MM/DD/YY"))</f>
        <v/>
      </c>
      <c r="G214" s="104" t="str">
        <f>IF(ISBLANK('Eid List Entry'!C214),"",('Eid List Entry'!$H$5))</f>
        <v/>
      </c>
    </row>
    <row r="215" spans="1:7" x14ac:dyDescent="0.25">
      <c r="A215" s="104" t="str">
        <f>'Eid List Entry'!B215</f>
        <v xml:space="preserve"> </v>
      </c>
      <c r="B215" s="104" t="str">
        <f>IF(ISBLANK('Eid List Entry'!C215),"",('Eid List Entry'!C215))</f>
        <v/>
      </c>
      <c r="C215" s="104" t="str">
        <f>IF(ISBLANK('Eid List Entry'!D215),"",('Eid List Entry'!D215))</f>
        <v/>
      </c>
      <c r="D215" s="138" t="str">
        <f>IF(ISBLANK('Eid List Entry'!C215),"",('Eid List Entry'!$H$7))</f>
        <v/>
      </c>
      <c r="E215" s="129" t="str">
        <f>IF(ISBLANK('Eid List Entry'!C215),"",('Eid List Entry'!$H$8))</f>
        <v/>
      </c>
      <c r="F215" s="140" t="str">
        <f>IF(ISBLANK('Eid List Entry'!C215),"",TEXT(('Eid List Entry'!$H$3),"MM/DD/YY"))</f>
        <v/>
      </c>
      <c r="G215" s="104" t="str">
        <f>IF(ISBLANK('Eid List Entry'!C215),"",('Eid List Entry'!$H$5))</f>
        <v/>
      </c>
    </row>
    <row r="216" spans="1:7" x14ac:dyDescent="0.25">
      <c r="A216" s="104" t="str">
        <f>'Eid List Entry'!B216</f>
        <v xml:space="preserve"> </v>
      </c>
      <c r="B216" s="104" t="str">
        <f>IF(ISBLANK('Eid List Entry'!C216),"",('Eid List Entry'!C216))</f>
        <v/>
      </c>
      <c r="C216" s="104" t="str">
        <f>IF(ISBLANK('Eid List Entry'!D216),"",('Eid List Entry'!D216))</f>
        <v/>
      </c>
      <c r="D216" s="138" t="str">
        <f>IF(ISBLANK('Eid List Entry'!C216),"",('Eid List Entry'!$H$7))</f>
        <v/>
      </c>
      <c r="E216" s="129" t="str">
        <f>IF(ISBLANK('Eid List Entry'!C216),"",('Eid List Entry'!$H$8))</f>
        <v/>
      </c>
      <c r="F216" s="140" t="str">
        <f>IF(ISBLANK('Eid List Entry'!C216),"",TEXT(('Eid List Entry'!$H$3),"MM/DD/YY"))</f>
        <v/>
      </c>
      <c r="G216" s="104" t="str">
        <f>IF(ISBLANK('Eid List Entry'!C216),"",('Eid List Entry'!$H$5))</f>
        <v/>
      </c>
    </row>
    <row r="217" spans="1:7" x14ac:dyDescent="0.25">
      <c r="A217" s="104" t="str">
        <f>'Eid List Entry'!B217</f>
        <v xml:space="preserve"> </v>
      </c>
      <c r="B217" s="104" t="str">
        <f>IF(ISBLANK('Eid List Entry'!C217),"",('Eid List Entry'!C217))</f>
        <v/>
      </c>
      <c r="C217" s="104" t="str">
        <f>IF(ISBLANK('Eid List Entry'!D217),"",('Eid List Entry'!D217))</f>
        <v/>
      </c>
      <c r="D217" s="138" t="str">
        <f>IF(ISBLANK('Eid List Entry'!C217),"",('Eid List Entry'!$H$7))</f>
        <v/>
      </c>
      <c r="E217" s="129" t="str">
        <f>IF(ISBLANK('Eid List Entry'!C217),"",('Eid List Entry'!$H$8))</f>
        <v/>
      </c>
      <c r="F217" s="140" t="str">
        <f>IF(ISBLANK('Eid List Entry'!C217),"",TEXT(('Eid List Entry'!$H$3),"MM/DD/YY"))</f>
        <v/>
      </c>
      <c r="G217" s="104" t="str">
        <f>IF(ISBLANK('Eid List Entry'!C217),"",('Eid List Entry'!$H$5))</f>
        <v/>
      </c>
    </row>
    <row r="218" spans="1:7" x14ac:dyDescent="0.25">
      <c r="A218" s="104" t="str">
        <f>'Eid List Entry'!B218</f>
        <v xml:space="preserve"> </v>
      </c>
      <c r="B218" s="104" t="str">
        <f>IF(ISBLANK('Eid List Entry'!C218),"",('Eid List Entry'!C218))</f>
        <v/>
      </c>
      <c r="C218" s="104" t="str">
        <f>IF(ISBLANK('Eid List Entry'!D218),"",('Eid List Entry'!D218))</f>
        <v/>
      </c>
      <c r="D218" s="138" t="str">
        <f>IF(ISBLANK('Eid List Entry'!C218),"",('Eid List Entry'!$H$7))</f>
        <v/>
      </c>
      <c r="E218" s="129" t="str">
        <f>IF(ISBLANK('Eid List Entry'!C218),"",('Eid List Entry'!$H$8))</f>
        <v/>
      </c>
      <c r="F218" s="140" t="str">
        <f>IF(ISBLANK('Eid List Entry'!C218),"",TEXT(('Eid List Entry'!$H$3),"MM/DD/YY"))</f>
        <v/>
      </c>
      <c r="G218" s="104" t="str">
        <f>IF(ISBLANK('Eid List Entry'!C218),"",('Eid List Entry'!$H$5))</f>
        <v/>
      </c>
    </row>
    <row r="219" spans="1:7" x14ac:dyDescent="0.25">
      <c r="A219" s="104" t="str">
        <f>'Eid List Entry'!B219</f>
        <v xml:space="preserve"> </v>
      </c>
      <c r="B219" s="104" t="str">
        <f>IF(ISBLANK('Eid List Entry'!C219),"",('Eid List Entry'!C219))</f>
        <v/>
      </c>
      <c r="C219" s="104" t="str">
        <f>IF(ISBLANK('Eid List Entry'!D219),"",('Eid List Entry'!D219))</f>
        <v/>
      </c>
      <c r="D219" s="138" t="str">
        <f>IF(ISBLANK('Eid List Entry'!C219),"",('Eid List Entry'!$H$7))</f>
        <v/>
      </c>
      <c r="E219" s="129" t="str">
        <f>IF(ISBLANK('Eid List Entry'!C219),"",('Eid List Entry'!$H$8))</f>
        <v/>
      </c>
      <c r="F219" s="140" t="str">
        <f>IF(ISBLANK('Eid List Entry'!C219),"",TEXT(('Eid List Entry'!$H$3),"MM/DD/YY"))</f>
        <v/>
      </c>
      <c r="G219" s="104" t="str">
        <f>IF(ISBLANK('Eid List Entry'!C219),"",('Eid List Entry'!$H$5))</f>
        <v/>
      </c>
    </row>
    <row r="220" spans="1:7" x14ac:dyDescent="0.25">
      <c r="A220" s="104" t="str">
        <f>'Eid List Entry'!B220</f>
        <v xml:space="preserve"> </v>
      </c>
      <c r="B220" s="104" t="str">
        <f>IF(ISBLANK('Eid List Entry'!C220),"",('Eid List Entry'!C220))</f>
        <v/>
      </c>
      <c r="C220" s="104" t="str">
        <f>IF(ISBLANK('Eid List Entry'!D220),"",('Eid List Entry'!D220))</f>
        <v/>
      </c>
      <c r="D220" s="138" t="str">
        <f>IF(ISBLANK('Eid List Entry'!C220),"",('Eid List Entry'!$H$7))</f>
        <v/>
      </c>
      <c r="E220" s="129" t="str">
        <f>IF(ISBLANK('Eid List Entry'!C220),"",('Eid List Entry'!$H$8))</f>
        <v/>
      </c>
      <c r="F220" s="140" t="str">
        <f>IF(ISBLANK('Eid List Entry'!C220),"",TEXT(('Eid List Entry'!$H$3),"MM/DD/YY"))</f>
        <v/>
      </c>
      <c r="G220" s="104" t="str">
        <f>IF(ISBLANK('Eid List Entry'!C220),"",('Eid List Entry'!$H$5))</f>
        <v/>
      </c>
    </row>
    <row r="221" spans="1:7" x14ac:dyDescent="0.25">
      <c r="A221" s="104" t="str">
        <f>'Eid List Entry'!B221</f>
        <v xml:space="preserve"> </v>
      </c>
      <c r="B221" s="104" t="str">
        <f>IF(ISBLANK('Eid List Entry'!C221),"",('Eid List Entry'!C221))</f>
        <v/>
      </c>
      <c r="C221" s="104" t="str">
        <f>IF(ISBLANK('Eid List Entry'!D221),"",('Eid List Entry'!D221))</f>
        <v/>
      </c>
      <c r="D221" s="138" t="str">
        <f>IF(ISBLANK('Eid List Entry'!C221),"",('Eid List Entry'!$H$7))</f>
        <v/>
      </c>
      <c r="E221" s="129" t="str">
        <f>IF(ISBLANK('Eid List Entry'!C221),"",('Eid List Entry'!$H$8))</f>
        <v/>
      </c>
      <c r="F221" s="140" t="str">
        <f>IF(ISBLANK('Eid List Entry'!C221),"",TEXT(('Eid List Entry'!$H$3),"MM/DD/YY"))</f>
        <v/>
      </c>
      <c r="G221" s="104" t="str">
        <f>IF(ISBLANK('Eid List Entry'!C221),"",('Eid List Entry'!$H$5))</f>
        <v/>
      </c>
    </row>
    <row r="222" spans="1:7" x14ac:dyDescent="0.25">
      <c r="A222" s="104" t="str">
        <f>'Eid List Entry'!B222</f>
        <v xml:space="preserve"> </v>
      </c>
      <c r="B222" s="104" t="str">
        <f>IF(ISBLANK('Eid List Entry'!C222),"",('Eid List Entry'!C222))</f>
        <v/>
      </c>
      <c r="C222" s="104" t="str">
        <f>IF(ISBLANK('Eid List Entry'!D222),"",('Eid List Entry'!D222))</f>
        <v/>
      </c>
      <c r="D222" s="138" t="str">
        <f>IF(ISBLANK('Eid List Entry'!C222),"",('Eid List Entry'!$H$7))</f>
        <v/>
      </c>
      <c r="E222" s="129" t="str">
        <f>IF(ISBLANK('Eid List Entry'!C222),"",('Eid List Entry'!$H$8))</f>
        <v/>
      </c>
      <c r="F222" s="140" t="str">
        <f>IF(ISBLANK('Eid List Entry'!C222),"",TEXT(('Eid List Entry'!$H$3),"MM/DD/YY"))</f>
        <v/>
      </c>
      <c r="G222" s="104" t="str">
        <f>IF(ISBLANK('Eid List Entry'!C222),"",('Eid List Entry'!$H$5))</f>
        <v/>
      </c>
    </row>
    <row r="223" spans="1:7" x14ac:dyDescent="0.25">
      <c r="A223" s="104" t="str">
        <f>'Eid List Entry'!B223</f>
        <v xml:space="preserve"> </v>
      </c>
      <c r="B223" s="104" t="str">
        <f>IF(ISBLANK('Eid List Entry'!C223),"",('Eid List Entry'!C223))</f>
        <v/>
      </c>
      <c r="C223" s="104" t="str">
        <f>IF(ISBLANK('Eid List Entry'!D223),"",('Eid List Entry'!D223))</f>
        <v/>
      </c>
      <c r="D223" s="138" t="str">
        <f>IF(ISBLANK('Eid List Entry'!C223),"",('Eid List Entry'!$H$7))</f>
        <v/>
      </c>
      <c r="E223" s="129" t="str">
        <f>IF(ISBLANK('Eid List Entry'!C223),"",('Eid List Entry'!$H$8))</f>
        <v/>
      </c>
      <c r="F223" s="140" t="str">
        <f>IF(ISBLANK('Eid List Entry'!C223),"",TEXT(('Eid List Entry'!$H$3),"MM/DD/YY"))</f>
        <v/>
      </c>
      <c r="G223" s="104" t="str">
        <f>IF(ISBLANK('Eid List Entry'!C223),"",('Eid List Entry'!$H$5))</f>
        <v/>
      </c>
    </row>
    <row r="224" spans="1:7" x14ac:dyDescent="0.25">
      <c r="A224" s="104" t="str">
        <f>'Eid List Entry'!B224</f>
        <v xml:space="preserve"> </v>
      </c>
      <c r="B224" s="104" t="str">
        <f>IF(ISBLANK('Eid List Entry'!C224),"",('Eid List Entry'!C224))</f>
        <v/>
      </c>
      <c r="C224" s="104" t="str">
        <f>IF(ISBLANK('Eid List Entry'!D224),"",('Eid List Entry'!D224))</f>
        <v/>
      </c>
      <c r="D224" s="138" t="str">
        <f>IF(ISBLANK('Eid List Entry'!C224),"",('Eid List Entry'!$H$7))</f>
        <v/>
      </c>
      <c r="E224" s="129" t="str">
        <f>IF(ISBLANK('Eid List Entry'!C224),"",('Eid List Entry'!$H$8))</f>
        <v/>
      </c>
      <c r="F224" s="140" t="str">
        <f>IF(ISBLANK('Eid List Entry'!C224),"",TEXT(('Eid List Entry'!$H$3),"MM/DD/YY"))</f>
        <v/>
      </c>
      <c r="G224" s="104" t="str">
        <f>IF(ISBLANK('Eid List Entry'!C224),"",('Eid List Entry'!$H$5))</f>
        <v/>
      </c>
    </row>
    <row r="225" spans="1:7" x14ac:dyDescent="0.25">
      <c r="A225" s="104" t="str">
        <f>'Eid List Entry'!B225</f>
        <v xml:space="preserve"> </v>
      </c>
      <c r="B225" s="104" t="str">
        <f>IF(ISBLANK('Eid List Entry'!C225),"",('Eid List Entry'!C225))</f>
        <v/>
      </c>
      <c r="C225" s="104" t="str">
        <f>IF(ISBLANK('Eid List Entry'!D225),"",('Eid List Entry'!D225))</f>
        <v/>
      </c>
      <c r="D225" s="138" t="str">
        <f>IF(ISBLANK('Eid List Entry'!C225),"",('Eid List Entry'!$H$7))</f>
        <v/>
      </c>
      <c r="E225" s="129" t="str">
        <f>IF(ISBLANK('Eid List Entry'!C225),"",('Eid List Entry'!$H$8))</f>
        <v/>
      </c>
      <c r="F225" s="140" t="str">
        <f>IF(ISBLANK('Eid List Entry'!C225),"",TEXT(('Eid List Entry'!$H$3),"MM/DD/YY"))</f>
        <v/>
      </c>
      <c r="G225" s="104" t="str">
        <f>IF(ISBLANK('Eid List Entry'!C225),"",('Eid List Entry'!$H$5))</f>
        <v/>
      </c>
    </row>
    <row r="226" spans="1:7" x14ac:dyDescent="0.25">
      <c r="A226" s="104" t="str">
        <f>'Eid List Entry'!B226</f>
        <v xml:space="preserve"> </v>
      </c>
      <c r="B226" s="104" t="str">
        <f>IF(ISBLANK('Eid List Entry'!C226),"",('Eid List Entry'!C226))</f>
        <v/>
      </c>
      <c r="C226" s="104" t="str">
        <f>IF(ISBLANK('Eid List Entry'!D226),"",('Eid List Entry'!D226))</f>
        <v/>
      </c>
      <c r="D226" s="138" t="str">
        <f>IF(ISBLANK('Eid List Entry'!C226),"",('Eid List Entry'!$H$7))</f>
        <v/>
      </c>
      <c r="E226" s="129" t="str">
        <f>IF(ISBLANK('Eid List Entry'!C226),"",('Eid List Entry'!$H$8))</f>
        <v/>
      </c>
      <c r="F226" s="140" t="str">
        <f>IF(ISBLANK('Eid List Entry'!C226),"",TEXT(('Eid List Entry'!$H$3),"MM/DD/YY"))</f>
        <v/>
      </c>
      <c r="G226" s="104" t="str">
        <f>IF(ISBLANK('Eid List Entry'!C226),"",('Eid List Entry'!$H$5))</f>
        <v/>
      </c>
    </row>
    <row r="227" spans="1:7" x14ac:dyDescent="0.25">
      <c r="A227" s="104" t="str">
        <f>'Eid List Entry'!B227</f>
        <v xml:space="preserve"> </v>
      </c>
      <c r="B227" s="104" t="str">
        <f>IF(ISBLANK('Eid List Entry'!C227),"",('Eid List Entry'!C227))</f>
        <v/>
      </c>
      <c r="C227" s="104" t="str">
        <f>IF(ISBLANK('Eid List Entry'!D227),"",('Eid List Entry'!D227))</f>
        <v/>
      </c>
      <c r="D227" s="138" t="str">
        <f>IF(ISBLANK('Eid List Entry'!C227),"",('Eid List Entry'!$H$7))</f>
        <v/>
      </c>
      <c r="E227" s="129" t="str">
        <f>IF(ISBLANK('Eid List Entry'!C227),"",('Eid List Entry'!$H$8))</f>
        <v/>
      </c>
      <c r="F227" s="140" t="str">
        <f>IF(ISBLANK('Eid List Entry'!C227),"",TEXT(('Eid List Entry'!$H$3),"MM/DD/YY"))</f>
        <v/>
      </c>
      <c r="G227" s="104" t="str">
        <f>IF(ISBLANK('Eid List Entry'!C227),"",('Eid List Entry'!$H$5))</f>
        <v/>
      </c>
    </row>
    <row r="228" spans="1:7" x14ac:dyDescent="0.25">
      <c r="A228" s="104" t="str">
        <f>'Eid List Entry'!B228</f>
        <v xml:space="preserve"> </v>
      </c>
      <c r="B228" s="104" t="str">
        <f>IF(ISBLANK('Eid List Entry'!C228),"",('Eid List Entry'!C228))</f>
        <v/>
      </c>
      <c r="C228" s="104" t="str">
        <f>IF(ISBLANK('Eid List Entry'!D228),"",('Eid List Entry'!D228))</f>
        <v/>
      </c>
      <c r="D228" s="138" t="str">
        <f>IF(ISBLANK('Eid List Entry'!C228),"",('Eid List Entry'!$H$7))</f>
        <v/>
      </c>
      <c r="E228" s="129" t="str">
        <f>IF(ISBLANK('Eid List Entry'!C228),"",('Eid List Entry'!$H$8))</f>
        <v/>
      </c>
      <c r="F228" s="140" t="str">
        <f>IF(ISBLANK('Eid List Entry'!C228),"",TEXT(('Eid List Entry'!$H$3),"MM/DD/YY"))</f>
        <v/>
      </c>
      <c r="G228" s="104" t="str">
        <f>IF(ISBLANK('Eid List Entry'!C228),"",('Eid List Entry'!$H$5))</f>
        <v/>
      </c>
    </row>
    <row r="229" spans="1:7" x14ac:dyDescent="0.25">
      <c r="A229" s="104" t="str">
        <f>'Eid List Entry'!B229</f>
        <v xml:space="preserve"> </v>
      </c>
      <c r="B229" s="104" t="str">
        <f>IF(ISBLANK('Eid List Entry'!C229),"",('Eid List Entry'!C229))</f>
        <v/>
      </c>
      <c r="C229" s="104" t="str">
        <f>IF(ISBLANK('Eid List Entry'!D229),"",('Eid List Entry'!D229))</f>
        <v/>
      </c>
      <c r="D229" s="138" t="str">
        <f>IF(ISBLANK('Eid List Entry'!C229),"",('Eid List Entry'!$H$7))</f>
        <v/>
      </c>
      <c r="E229" s="129" t="str">
        <f>IF(ISBLANK('Eid List Entry'!C229),"",('Eid List Entry'!$H$8))</f>
        <v/>
      </c>
      <c r="F229" s="140" t="str">
        <f>IF(ISBLANK('Eid List Entry'!C229),"",TEXT(('Eid List Entry'!$H$3),"MM/DD/YY"))</f>
        <v/>
      </c>
      <c r="G229" s="104" t="str">
        <f>IF(ISBLANK('Eid List Entry'!C229),"",('Eid List Entry'!$H$5))</f>
        <v/>
      </c>
    </row>
    <row r="230" spans="1:7" x14ac:dyDescent="0.25">
      <c r="A230" s="104" t="str">
        <f>'Eid List Entry'!B230</f>
        <v xml:space="preserve"> </v>
      </c>
      <c r="B230" s="104" t="str">
        <f>IF(ISBLANK('Eid List Entry'!C230),"",('Eid List Entry'!C230))</f>
        <v/>
      </c>
      <c r="C230" s="104" t="str">
        <f>IF(ISBLANK('Eid List Entry'!D230),"",('Eid List Entry'!D230))</f>
        <v/>
      </c>
      <c r="D230" s="138" t="str">
        <f>IF(ISBLANK('Eid List Entry'!C230),"",('Eid List Entry'!$H$7))</f>
        <v/>
      </c>
      <c r="E230" s="129" t="str">
        <f>IF(ISBLANK('Eid List Entry'!C230),"",('Eid List Entry'!$H$8))</f>
        <v/>
      </c>
      <c r="F230" s="140" t="str">
        <f>IF(ISBLANK('Eid List Entry'!C230),"",TEXT(('Eid List Entry'!$H$3),"MM/DD/YY"))</f>
        <v/>
      </c>
      <c r="G230" s="104" t="str">
        <f>IF(ISBLANK('Eid List Entry'!C230),"",('Eid List Entry'!$H$5))</f>
        <v/>
      </c>
    </row>
    <row r="231" spans="1:7" x14ac:dyDescent="0.25">
      <c r="A231" s="104" t="str">
        <f>'Eid List Entry'!B231</f>
        <v xml:space="preserve"> </v>
      </c>
      <c r="B231" s="104" t="str">
        <f>IF(ISBLANK('Eid List Entry'!C231),"",('Eid List Entry'!C231))</f>
        <v/>
      </c>
      <c r="C231" s="104" t="str">
        <f>IF(ISBLANK('Eid List Entry'!D231),"",('Eid List Entry'!D231))</f>
        <v/>
      </c>
      <c r="D231" s="138" t="str">
        <f>IF(ISBLANK('Eid List Entry'!C231),"",('Eid List Entry'!$H$7))</f>
        <v/>
      </c>
      <c r="E231" s="129" t="str">
        <f>IF(ISBLANK('Eid List Entry'!C231),"",('Eid List Entry'!$H$8))</f>
        <v/>
      </c>
      <c r="F231" s="140" t="str">
        <f>IF(ISBLANK('Eid List Entry'!C231),"",TEXT(('Eid List Entry'!$H$3),"MM/DD/YY"))</f>
        <v/>
      </c>
      <c r="G231" s="104" t="str">
        <f>IF(ISBLANK('Eid List Entry'!C231),"",('Eid List Entry'!$H$5))</f>
        <v/>
      </c>
    </row>
    <row r="232" spans="1:7" x14ac:dyDescent="0.25">
      <c r="A232" s="104" t="str">
        <f>'Eid List Entry'!B232</f>
        <v xml:space="preserve"> </v>
      </c>
      <c r="B232" s="104" t="str">
        <f>IF(ISBLANK('Eid List Entry'!C232),"",('Eid List Entry'!C232))</f>
        <v/>
      </c>
      <c r="C232" s="104" t="str">
        <f>IF(ISBLANK('Eid List Entry'!D232),"",('Eid List Entry'!D232))</f>
        <v/>
      </c>
      <c r="D232" s="138" t="str">
        <f>IF(ISBLANK('Eid List Entry'!C232),"",('Eid List Entry'!$H$7))</f>
        <v/>
      </c>
      <c r="E232" s="129" t="str">
        <f>IF(ISBLANK('Eid List Entry'!C232),"",('Eid List Entry'!$H$8))</f>
        <v/>
      </c>
      <c r="F232" s="140" t="str">
        <f>IF(ISBLANK('Eid List Entry'!C232),"",TEXT(('Eid List Entry'!$H$3),"MM/DD/YY"))</f>
        <v/>
      </c>
      <c r="G232" s="104" t="str">
        <f>IF(ISBLANK('Eid List Entry'!C232),"",('Eid List Entry'!$H$5))</f>
        <v/>
      </c>
    </row>
    <row r="233" spans="1:7" x14ac:dyDescent="0.25">
      <c r="A233" s="104" t="str">
        <f>'Eid List Entry'!B233</f>
        <v xml:space="preserve"> </v>
      </c>
      <c r="B233" s="104" t="str">
        <f>IF(ISBLANK('Eid List Entry'!C233),"",('Eid List Entry'!C233))</f>
        <v/>
      </c>
      <c r="C233" s="104" t="str">
        <f>IF(ISBLANK('Eid List Entry'!D233),"",('Eid List Entry'!D233))</f>
        <v/>
      </c>
      <c r="D233" s="138" t="str">
        <f>IF(ISBLANK('Eid List Entry'!C233),"",('Eid List Entry'!$H$7))</f>
        <v/>
      </c>
      <c r="E233" s="129" t="str">
        <f>IF(ISBLANK('Eid List Entry'!C233),"",('Eid List Entry'!$H$8))</f>
        <v/>
      </c>
      <c r="F233" s="140" t="str">
        <f>IF(ISBLANK('Eid List Entry'!C233),"",TEXT(('Eid List Entry'!$H$3),"MM/DD/YY"))</f>
        <v/>
      </c>
      <c r="G233" s="104" t="str">
        <f>IF(ISBLANK('Eid List Entry'!C233),"",('Eid List Entry'!$H$5))</f>
        <v/>
      </c>
    </row>
    <row r="234" spans="1:7" x14ac:dyDescent="0.25">
      <c r="A234" s="104" t="str">
        <f>'Eid List Entry'!B234</f>
        <v xml:space="preserve"> </v>
      </c>
      <c r="B234" s="104" t="str">
        <f>IF(ISBLANK('Eid List Entry'!C234),"",('Eid List Entry'!C234))</f>
        <v/>
      </c>
      <c r="C234" s="104" t="str">
        <f>IF(ISBLANK('Eid List Entry'!D234),"",('Eid List Entry'!D234))</f>
        <v/>
      </c>
      <c r="D234" s="138" t="str">
        <f>IF(ISBLANK('Eid List Entry'!C234),"",('Eid List Entry'!$H$7))</f>
        <v/>
      </c>
      <c r="E234" s="129" t="str">
        <f>IF(ISBLANK('Eid List Entry'!C234),"",('Eid List Entry'!$H$8))</f>
        <v/>
      </c>
      <c r="F234" s="140" t="str">
        <f>IF(ISBLANK('Eid List Entry'!C234),"",TEXT(('Eid List Entry'!$H$3),"MM/DD/YY"))</f>
        <v/>
      </c>
      <c r="G234" s="104" t="str">
        <f>IF(ISBLANK('Eid List Entry'!C234),"",('Eid List Entry'!$H$5))</f>
        <v/>
      </c>
    </row>
    <row r="235" spans="1:7" x14ac:dyDescent="0.25">
      <c r="A235" s="104" t="str">
        <f>'Eid List Entry'!B235</f>
        <v xml:space="preserve"> </v>
      </c>
      <c r="B235" s="104" t="str">
        <f>IF(ISBLANK('Eid List Entry'!C235),"",('Eid List Entry'!C235))</f>
        <v/>
      </c>
      <c r="C235" s="104" t="str">
        <f>IF(ISBLANK('Eid List Entry'!D235),"",('Eid List Entry'!D235))</f>
        <v/>
      </c>
      <c r="D235" s="138" t="str">
        <f>IF(ISBLANK('Eid List Entry'!C235),"",('Eid List Entry'!$H$7))</f>
        <v/>
      </c>
      <c r="E235" s="129" t="str">
        <f>IF(ISBLANK('Eid List Entry'!C235),"",('Eid List Entry'!$H$8))</f>
        <v/>
      </c>
      <c r="F235" s="140" t="str">
        <f>IF(ISBLANK('Eid List Entry'!C235),"",TEXT(('Eid List Entry'!$H$3),"MM/DD/YY"))</f>
        <v/>
      </c>
      <c r="G235" s="104" t="str">
        <f>IF(ISBLANK('Eid List Entry'!C235),"",('Eid List Entry'!$H$5))</f>
        <v/>
      </c>
    </row>
    <row r="236" spans="1:7" x14ac:dyDescent="0.25">
      <c r="A236" s="104" t="str">
        <f>'Eid List Entry'!B236</f>
        <v xml:space="preserve"> </v>
      </c>
      <c r="B236" s="104" t="str">
        <f>IF(ISBLANK('Eid List Entry'!C236),"",('Eid List Entry'!C236))</f>
        <v/>
      </c>
      <c r="C236" s="104" t="str">
        <f>IF(ISBLANK('Eid List Entry'!D236),"",('Eid List Entry'!D236))</f>
        <v/>
      </c>
      <c r="D236" s="138" t="str">
        <f>IF(ISBLANK('Eid List Entry'!C236),"",('Eid List Entry'!$H$7))</f>
        <v/>
      </c>
      <c r="E236" s="129" t="str">
        <f>IF(ISBLANK('Eid List Entry'!C236),"",('Eid List Entry'!$H$8))</f>
        <v/>
      </c>
      <c r="F236" s="140" t="str">
        <f>IF(ISBLANK('Eid List Entry'!C236),"",TEXT(('Eid List Entry'!$H$3),"MM/DD/YY"))</f>
        <v/>
      </c>
      <c r="G236" s="104" t="str">
        <f>IF(ISBLANK('Eid List Entry'!C236),"",('Eid List Entry'!$H$5))</f>
        <v/>
      </c>
    </row>
    <row r="237" spans="1:7" x14ac:dyDescent="0.25">
      <c r="A237" s="104" t="str">
        <f>'Eid List Entry'!B237</f>
        <v xml:space="preserve"> </v>
      </c>
      <c r="B237" s="104" t="str">
        <f>IF(ISBLANK('Eid List Entry'!C237),"",('Eid List Entry'!C237))</f>
        <v/>
      </c>
      <c r="C237" s="104" t="str">
        <f>IF(ISBLANK('Eid List Entry'!D237),"",('Eid List Entry'!D237))</f>
        <v/>
      </c>
      <c r="D237" s="138" t="str">
        <f>IF(ISBLANK('Eid List Entry'!C237),"",('Eid List Entry'!$H$7))</f>
        <v/>
      </c>
      <c r="E237" s="129" t="str">
        <f>IF(ISBLANK('Eid List Entry'!C237),"",('Eid List Entry'!$H$8))</f>
        <v/>
      </c>
      <c r="F237" s="140" t="str">
        <f>IF(ISBLANK('Eid List Entry'!C237),"",TEXT(('Eid List Entry'!$H$3),"MM/DD/YY"))</f>
        <v/>
      </c>
      <c r="G237" s="104" t="str">
        <f>IF(ISBLANK('Eid List Entry'!C237),"",('Eid List Entry'!$H$5))</f>
        <v/>
      </c>
    </row>
    <row r="238" spans="1:7" x14ac:dyDescent="0.25">
      <c r="A238" s="104" t="str">
        <f>'Eid List Entry'!B238</f>
        <v xml:space="preserve"> </v>
      </c>
      <c r="B238" s="104" t="str">
        <f>IF(ISBLANK('Eid List Entry'!C238),"",('Eid List Entry'!C238))</f>
        <v/>
      </c>
      <c r="C238" s="104" t="str">
        <f>IF(ISBLANK('Eid List Entry'!D238),"",('Eid List Entry'!D238))</f>
        <v/>
      </c>
      <c r="D238" s="138" t="str">
        <f>IF(ISBLANK('Eid List Entry'!C238),"",('Eid List Entry'!$H$7))</f>
        <v/>
      </c>
      <c r="E238" s="129" t="str">
        <f>IF(ISBLANK('Eid List Entry'!C238),"",('Eid List Entry'!$H$8))</f>
        <v/>
      </c>
      <c r="F238" s="140" t="str">
        <f>IF(ISBLANK('Eid List Entry'!C238),"",TEXT(('Eid List Entry'!$H$3),"MM/DD/YY"))</f>
        <v/>
      </c>
      <c r="G238" s="104" t="str">
        <f>IF(ISBLANK('Eid List Entry'!C238),"",('Eid List Entry'!$H$5))</f>
        <v/>
      </c>
    </row>
    <row r="239" spans="1:7" x14ac:dyDescent="0.25">
      <c r="A239" s="104" t="str">
        <f>'Eid List Entry'!B239</f>
        <v xml:space="preserve"> </v>
      </c>
      <c r="B239" s="104" t="str">
        <f>IF(ISBLANK('Eid List Entry'!C239),"",('Eid List Entry'!C239))</f>
        <v/>
      </c>
      <c r="C239" s="104" t="str">
        <f>IF(ISBLANK('Eid List Entry'!D239),"",('Eid List Entry'!D239))</f>
        <v/>
      </c>
      <c r="D239" s="138" t="str">
        <f>IF(ISBLANK('Eid List Entry'!C239),"",('Eid List Entry'!$H$7))</f>
        <v/>
      </c>
      <c r="E239" s="129" t="str">
        <f>IF(ISBLANK('Eid List Entry'!C239),"",('Eid List Entry'!$H$8))</f>
        <v/>
      </c>
      <c r="F239" s="140" t="str">
        <f>IF(ISBLANK('Eid List Entry'!C239),"",TEXT(('Eid List Entry'!$H$3),"MM/DD/YY"))</f>
        <v/>
      </c>
      <c r="G239" s="104" t="str">
        <f>IF(ISBLANK('Eid List Entry'!C239),"",('Eid List Entry'!$H$5))</f>
        <v/>
      </c>
    </row>
    <row r="240" spans="1:7" x14ac:dyDescent="0.25">
      <c r="A240" s="104" t="str">
        <f>'Eid List Entry'!B240</f>
        <v xml:space="preserve"> </v>
      </c>
      <c r="B240" s="104" t="str">
        <f>IF(ISBLANK('Eid List Entry'!C240),"",('Eid List Entry'!C240))</f>
        <v/>
      </c>
      <c r="C240" s="104" t="str">
        <f>IF(ISBLANK('Eid List Entry'!D240),"",('Eid List Entry'!D240))</f>
        <v/>
      </c>
      <c r="D240" s="138" t="str">
        <f>IF(ISBLANK('Eid List Entry'!C240),"",('Eid List Entry'!$H$7))</f>
        <v/>
      </c>
      <c r="E240" s="129" t="str">
        <f>IF(ISBLANK('Eid List Entry'!C240),"",('Eid List Entry'!$H$8))</f>
        <v/>
      </c>
      <c r="F240" s="140" t="str">
        <f>IF(ISBLANK('Eid List Entry'!C240),"",TEXT(('Eid List Entry'!$H$3),"MM/DD/YY"))</f>
        <v/>
      </c>
      <c r="G240" s="104" t="str">
        <f>IF(ISBLANK('Eid List Entry'!C240),"",('Eid List Entry'!$H$5))</f>
        <v/>
      </c>
    </row>
    <row r="241" spans="1:7" x14ac:dyDescent="0.25">
      <c r="A241" s="104" t="str">
        <f>'Eid List Entry'!B241</f>
        <v xml:space="preserve"> </v>
      </c>
      <c r="B241" s="104" t="str">
        <f>IF(ISBLANK('Eid List Entry'!C241),"",('Eid List Entry'!C241))</f>
        <v/>
      </c>
      <c r="C241" s="104" t="str">
        <f>IF(ISBLANK('Eid List Entry'!D241),"",('Eid List Entry'!D241))</f>
        <v/>
      </c>
      <c r="D241" s="138" t="str">
        <f>IF(ISBLANK('Eid List Entry'!C241),"",('Eid List Entry'!$H$7))</f>
        <v/>
      </c>
      <c r="E241" s="129" t="str">
        <f>IF(ISBLANK('Eid List Entry'!C241),"",('Eid List Entry'!$H$8))</f>
        <v/>
      </c>
      <c r="F241" s="140" t="str">
        <f>IF(ISBLANK('Eid List Entry'!C241),"",TEXT(('Eid List Entry'!$H$3),"MM/DD/YY"))</f>
        <v/>
      </c>
      <c r="G241" s="104" t="str">
        <f>IF(ISBLANK('Eid List Entry'!C241),"",('Eid List Entry'!$H$5))</f>
        <v/>
      </c>
    </row>
    <row r="242" spans="1:7" x14ac:dyDescent="0.25">
      <c r="A242" s="104" t="str">
        <f>'Eid List Entry'!B242</f>
        <v xml:space="preserve"> </v>
      </c>
      <c r="B242" s="104" t="str">
        <f>IF(ISBLANK('Eid List Entry'!C242),"",('Eid List Entry'!C242))</f>
        <v/>
      </c>
      <c r="C242" s="104" t="str">
        <f>IF(ISBLANK('Eid List Entry'!D242),"",('Eid List Entry'!D242))</f>
        <v/>
      </c>
      <c r="D242" s="138" t="str">
        <f>IF(ISBLANK('Eid List Entry'!C242),"",('Eid List Entry'!$H$7))</f>
        <v/>
      </c>
      <c r="E242" s="129" t="str">
        <f>IF(ISBLANK('Eid List Entry'!C242),"",('Eid List Entry'!$H$8))</f>
        <v/>
      </c>
      <c r="F242" s="140" t="str">
        <f>IF(ISBLANK('Eid List Entry'!C242),"",TEXT(('Eid List Entry'!$H$3),"MM/DD/YY"))</f>
        <v/>
      </c>
      <c r="G242" s="104" t="str">
        <f>IF(ISBLANK('Eid List Entry'!C242),"",('Eid List Entry'!$H$5))</f>
        <v/>
      </c>
    </row>
    <row r="243" spans="1:7" x14ac:dyDescent="0.25">
      <c r="A243" s="104" t="str">
        <f>'Eid List Entry'!B243</f>
        <v xml:space="preserve"> </v>
      </c>
      <c r="B243" s="104" t="str">
        <f>IF(ISBLANK('Eid List Entry'!C243),"",('Eid List Entry'!C243))</f>
        <v/>
      </c>
      <c r="C243" s="104" t="str">
        <f>IF(ISBLANK('Eid List Entry'!D243),"",('Eid List Entry'!D243))</f>
        <v/>
      </c>
      <c r="D243" s="138" t="str">
        <f>IF(ISBLANK('Eid List Entry'!C243),"",('Eid List Entry'!$H$7))</f>
        <v/>
      </c>
      <c r="E243" s="129" t="str">
        <f>IF(ISBLANK('Eid List Entry'!C243),"",('Eid List Entry'!$H$8))</f>
        <v/>
      </c>
      <c r="F243" s="140" t="str">
        <f>IF(ISBLANK('Eid List Entry'!C243),"",TEXT(('Eid List Entry'!$H$3),"MM/DD/YY"))</f>
        <v/>
      </c>
      <c r="G243" s="104" t="str">
        <f>IF(ISBLANK('Eid List Entry'!C243),"",('Eid List Entry'!$H$5))</f>
        <v/>
      </c>
    </row>
    <row r="244" spans="1:7" x14ac:dyDescent="0.25">
      <c r="A244" s="104" t="str">
        <f>'Eid List Entry'!B244</f>
        <v xml:space="preserve"> </v>
      </c>
      <c r="B244" s="104" t="str">
        <f>IF(ISBLANK('Eid List Entry'!C244),"",('Eid List Entry'!C244))</f>
        <v/>
      </c>
      <c r="C244" s="104" t="str">
        <f>IF(ISBLANK('Eid List Entry'!D244),"",('Eid List Entry'!D244))</f>
        <v/>
      </c>
      <c r="D244" s="138" t="str">
        <f>IF(ISBLANK('Eid List Entry'!C244),"",('Eid List Entry'!$H$7))</f>
        <v/>
      </c>
      <c r="E244" s="129" t="str">
        <f>IF(ISBLANK('Eid List Entry'!C244),"",('Eid List Entry'!$H$8))</f>
        <v/>
      </c>
      <c r="F244" s="140" t="str">
        <f>IF(ISBLANK('Eid List Entry'!C244),"",TEXT(('Eid List Entry'!$H$3),"MM/DD/YY"))</f>
        <v/>
      </c>
      <c r="G244" s="104" t="str">
        <f>IF(ISBLANK('Eid List Entry'!C244),"",('Eid List Entry'!$H$5))</f>
        <v/>
      </c>
    </row>
    <row r="245" spans="1:7" x14ac:dyDescent="0.25">
      <c r="A245" s="104" t="str">
        <f>'Eid List Entry'!B245</f>
        <v xml:space="preserve"> </v>
      </c>
      <c r="B245" s="104" t="str">
        <f>IF(ISBLANK('Eid List Entry'!C245),"",('Eid List Entry'!C245))</f>
        <v/>
      </c>
      <c r="C245" s="104" t="str">
        <f>IF(ISBLANK('Eid List Entry'!D245),"",('Eid List Entry'!D245))</f>
        <v/>
      </c>
      <c r="D245" s="138" t="str">
        <f>IF(ISBLANK('Eid List Entry'!C245),"",('Eid List Entry'!$H$7))</f>
        <v/>
      </c>
      <c r="E245" s="129" t="str">
        <f>IF(ISBLANK('Eid List Entry'!C245),"",('Eid List Entry'!$H$8))</f>
        <v/>
      </c>
      <c r="F245" s="140" t="str">
        <f>IF(ISBLANK('Eid List Entry'!C245),"",TEXT(('Eid List Entry'!$H$3),"MM/DD/YY"))</f>
        <v/>
      </c>
      <c r="G245" s="104" t="str">
        <f>IF(ISBLANK('Eid List Entry'!C245),"",('Eid List Entry'!$H$5))</f>
        <v/>
      </c>
    </row>
    <row r="246" spans="1:7" x14ac:dyDescent="0.25">
      <c r="A246" s="104" t="str">
        <f>'Eid List Entry'!B246</f>
        <v xml:space="preserve"> </v>
      </c>
      <c r="B246" s="104" t="str">
        <f>IF(ISBLANK('Eid List Entry'!C246),"",('Eid List Entry'!C246))</f>
        <v/>
      </c>
      <c r="C246" s="104" t="str">
        <f>IF(ISBLANK('Eid List Entry'!D246),"",('Eid List Entry'!D246))</f>
        <v/>
      </c>
      <c r="D246" s="138" t="str">
        <f>IF(ISBLANK('Eid List Entry'!C246),"",('Eid List Entry'!$H$7))</f>
        <v/>
      </c>
      <c r="E246" s="129" t="str">
        <f>IF(ISBLANK('Eid List Entry'!C246),"",('Eid List Entry'!$H$8))</f>
        <v/>
      </c>
      <c r="F246" s="140" t="str">
        <f>IF(ISBLANK('Eid List Entry'!C246),"",TEXT(('Eid List Entry'!$H$3),"MM/DD/YY"))</f>
        <v/>
      </c>
      <c r="G246" s="104" t="str">
        <f>IF(ISBLANK('Eid List Entry'!C246),"",('Eid List Entry'!$H$5))</f>
        <v/>
      </c>
    </row>
    <row r="247" spans="1:7" x14ac:dyDescent="0.25">
      <c r="A247" s="104" t="str">
        <f>'Eid List Entry'!B247</f>
        <v xml:space="preserve"> </v>
      </c>
      <c r="B247" s="104" t="str">
        <f>IF(ISBLANK('Eid List Entry'!C247),"",('Eid List Entry'!C247))</f>
        <v/>
      </c>
      <c r="C247" s="104" t="str">
        <f>IF(ISBLANK('Eid List Entry'!D247),"",('Eid List Entry'!D247))</f>
        <v/>
      </c>
      <c r="D247" s="138" t="str">
        <f>IF(ISBLANK('Eid List Entry'!C247),"",('Eid List Entry'!$H$7))</f>
        <v/>
      </c>
      <c r="E247" s="129" t="str">
        <f>IF(ISBLANK('Eid List Entry'!C247),"",('Eid List Entry'!$H$8))</f>
        <v/>
      </c>
      <c r="F247" s="140" t="str">
        <f>IF(ISBLANK('Eid List Entry'!C247),"",TEXT(('Eid List Entry'!$H$3),"MM/DD/YY"))</f>
        <v/>
      </c>
      <c r="G247" s="104" t="str">
        <f>IF(ISBLANK('Eid List Entry'!C247),"",('Eid List Entry'!$H$5))</f>
        <v/>
      </c>
    </row>
    <row r="248" spans="1:7" x14ac:dyDescent="0.25">
      <c r="A248" s="104" t="str">
        <f>'Eid List Entry'!B248</f>
        <v xml:space="preserve"> </v>
      </c>
      <c r="B248" s="104" t="str">
        <f>IF(ISBLANK('Eid List Entry'!C248),"",('Eid List Entry'!C248))</f>
        <v/>
      </c>
      <c r="C248" s="104" t="str">
        <f>IF(ISBLANK('Eid List Entry'!D248),"",('Eid List Entry'!D248))</f>
        <v/>
      </c>
      <c r="D248" s="138" t="str">
        <f>IF(ISBLANK('Eid List Entry'!C248),"",('Eid List Entry'!$H$7))</f>
        <v/>
      </c>
      <c r="E248" s="129" t="str">
        <f>IF(ISBLANK('Eid List Entry'!C248),"",('Eid List Entry'!$H$8))</f>
        <v/>
      </c>
      <c r="F248" s="140" t="str">
        <f>IF(ISBLANK('Eid List Entry'!C248),"",TEXT(('Eid List Entry'!$H$3),"MM/DD/YY"))</f>
        <v/>
      </c>
      <c r="G248" s="104" t="str">
        <f>IF(ISBLANK('Eid List Entry'!C248),"",('Eid List Entry'!$H$5))</f>
        <v/>
      </c>
    </row>
    <row r="249" spans="1:7" x14ac:dyDescent="0.25">
      <c r="A249" s="104" t="str">
        <f>'Eid List Entry'!B249</f>
        <v xml:space="preserve"> </v>
      </c>
      <c r="B249" s="104" t="str">
        <f>IF(ISBLANK('Eid List Entry'!C249),"",('Eid List Entry'!C249))</f>
        <v/>
      </c>
      <c r="C249" s="104" t="str">
        <f>IF(ISBLANK('Eid List Entry'!D249),"",('Eid List Entry'!D249))</f>
        <v/>
      </c>
      <c r="D249" s="138" t="str">
        <f>IF(ISBLANK('Eid List Entry'!C249),"",('Eid List Entry'!$H$7))</f>
        <v/>
      </c>
      <c r="E249" s="129" t="str">
        <f>IF(ISBLANK('Eid List Entry'!C249),"",('Eid List Entry'!$H$8))</f>
        <v/>
      </c>
      <c r="F249" s="140" t="str">
        <f>IF(ISBLANK('Eid List Entry'!C249),"",TEXT(('Eid List Entry'!$H$3),"MM/DD/YY"))</f>
        <v/>
      </c>
      <c r="G249" s="104" t="str">
        <f>IF(ISBLANK('Eid List Entry'!C249),"",('Eid List Entry'!$H$5))</f>
        <v/>
      </c>
    </row>
    <row r="250" spans="1:7" x14ac:dyDescent="0.25">
      <c r="A250" s="104" t="str">
        <f>'Eid List Entry'!B250</f>
        <v xml:space="preserve"> </v>
      </c>
      <c r="B250" s="104" t="str">
        <f>IF(ISBLANK('Eid List Entry'!C250),"",('Eid List Entry'!C250))</f>
        <v/>
      </c>
      <c r="C250" s="104" t="str">
        <f>IF(ISBLANK('Eid List Entry'!D250),"",('Eid List Entry'!D250))</f>
        <v/>
      </c>
      <c r="D250" s="138" t="str">
        <f>IF(ISBLANK('Eid List Entry'!C250),"",('Eid List Entry'!$H$7))</f>
        <v/>
      </c>
      <c r="E250" s="129" t="str">
        <f>IF(ISBLANK('Eid List Entry'!C250),"",('Eid List Entry'!$H$8))</f>
        <v/>
      </c>
      <c r="F250" s="140" t="str">
        <f>IF(ISBLANK('Eid List Entry'!C250),"",TEXT(('Eid List Entry'!$H$3),"MM/DD/YY"))</f>
        <v/>
      </c>
      <c r="G250" s="104" t="str">
        <f>IF(ISBLANK('Eid List Entry'!C250),"",('Eid List Entry'!$H$5))</f>
        <v/>
      </c>
    </row>
    <row r="251" spans="1:7" x14ac:dyDescent="0.25">
      <c r="A251" s="104" t="str">
        <f>'Eid List Entry'!B251</f>
        <v xml:space="preserve"> </v>
      </c>
      <c r="B251" s="104" t="str">
        <f>IF(ISBLANK('Eid List Entry'!C251),"",('Eid List Entry'!C251))</f>
        <v/>
      </c>
      <c r="C251" s="104" t="str">
        <f>IF(ISBLANK('Eid List Entry'!D251),"",('Eid List Entry'!D251))</f>
        <v/>
      </c>
      <c r="D251" s="138" t="str">
        <f>IF(ISBLANK('Eid List Entry'!C251),"",('Eid List Entry'!$H$7))</f>
        <v/>
      </c>
      <c r="E251" s="129" t="str">
        <f>IF(ISBLANK('Eid List Entry'!C251),"",('Eid List Entry'!$H$8))</f>
        <v/>
      </c>
      <c r="F251" s="140" t="str">
        <f>IF(ISBLANK('Eid List Entry'!C251),"",TEXT(('Eid List Entry'!$H$3),"MM/DD/YY"))</f>
        <v/>
      </c>
      <c r="G251" s="104" t="str">
        <f>IF(ISBLANK('Eid List Entry'!C251),"",('Eid List Entry'!$H$5))</f>
        <v/>
      </c>
    </row>
    <row r="252" spans="1:7" x14ac:dyDescent="0.25">
      <c r="A252" s="104" t="str">
        <f>'Eid List Entry'!B252</f>
        <v xml:space="preserve"> </v>
      </c>
      <c r="B252" s="104" t="str">
        <f>IF(ISBLANK('Eid List Entry'!C252),"",('Eid List Entry'!C252))</f>
        <v/>
      </c>
      <c r="C252" s="104" t="str">
        <f>IF(ISBLANK('Eid List Entry'!D252),"",('Eid List Entry'!D252))</f>
        <v/>
      </c>
      <c r="D252" s="138" t="str">
        <f>IF(ISBLANK('Eid List Entry'!C252),"",('Eid List Entry'!$H$7))</f>
        <v/>
      </c>
      <c r="E252" s="129" t="str">
        <f>IF(ISBLANK('Eid List Entry'!C252),"",('Eid List Entry'!$H$8))</f>
        <v/>
      </c>
      <c r="F252" s="140" t="str">
        <f>IF(ISBLANK('Eid List Entry'!C252),"",TEXT(('Eid List Entry'!$H$3),"MM/DD/YY"))</f>
        <v/>
      </c>
      <c r="G252" s="104" t="str">
        <f>IF(ISBLANK('Eid List Entry'!C252),"",('Eid List Entry'!$H$5))</f>
        <v/>
      </c>
    </row>
    <row r="253" spans="1:7" x14ac:dyDescent="0.25">
      <c r="A253" s="104" t="str">
        <f>'Eid List Entry'!B253</f>
        <v xml:space="preserve"> </v>
      </c>
      <c r="B253" s="104" t="str">
        <f>IF(ISBLANK('Eid List Entry'!C253),"",('Eid List Entry'!C253))</f>
        <v/>
      </c>
      <c r="C253" s="104" t="str">
        <f>IF(ISBLANK('Eid List Entry'!D253),"",('Eid List Entry'!D253))</f>
        <v/>
      </c>
      <c r="D253" s="138" t="str">
        <f>IF(ISBLANK('Eid List Entry'!C253),"",('Eid List Entry'!$H$7))</f>
        <v/>
      </c>
      <c r="E253" s="129" t="str">
        <f>IF(ISBLANK('Eid List Entry'!C253),"",('Eid List Entry'!$H$8))</f>
        <v/>
      </c>
      <c r="F253" s="140" t="str">
        <f>IF(ISBLANK('Eid List Entry'!C253),"",TEXT(('Eid List Entry'!$H$3),"MM/DD/YY"))</f>
        <v/>
      </c>
      <c r="G253" s="104" t="str">
        <f>IF(ISBLANK('Eid List Entry'!C253),"",('Eid List Entry'!$H$5))</f>
        <v/>
      </c>
    </row>
    <row r="254" spans="1:7" x14ac:dyDescent="0.25">
      <c r="A254" s="104">
        <f>'Eid List Entry'!B254</f>
        <v>0</v>
      </c>
      <c r="B254" s="104" t="str">
        <f>IF(ISBLANK('Eid List Entry'!C254),"",('Eid List Entry'!C254))</f>
        <v/>
      </c>
      <c r="C254" s="104" t="str">
        <f>IF(ISBLANK('Eid List Entry'!D254),"",('Eid List Entry'!D254))</f>
        <v/>
      </c>
      <c r="D254" s="138" t="str">
        <f>IF(ISBLANK('Eid List Entry'!C254),"",('Eid List Entry'!$H$7))</f>
        <v/>
      </c>
      <c r="E254" s="129" t="str">
        <f>IF(ISBLANK('Eid List Entry'!C254),"",('Eid List Entry'!$H$8))</f>
        <v/>
      </c>
      <c r="F254" s="140" t="str">
        <f>IF(ISBLANK('Eid List Entry'!C254),"",TEXT(('Eid List Entry'!$H$3),"MM/DD/YY"))</f>
        <v/>
      </c>
      <c r="G254" s="104" t="str">
        <f>IF(ISBLANK('Eid List Entry'!C254),"",('Eid List Entry'!$H$5))</f>
        <v/>
      </c>
    </row>
    <row r="255" spans="1:7" x14ac:dyDescent="0.25">
      <c r="A255" s="104">
        <f>'Eid List Entry'!B255</f>
        <v>0</v>
      </c>
      <c r="B255" s="104" t="str">
        <f>IF(ISBLANK('Eid List Entry'!C255),"",('Eid List Entry'!C255))</f>
        <v/>
      </c>
      <c r="C255" s="104" t="str">
        <f>IF(ISBLANK('Eid List Entry'!D255),"",('Eid List Entry'!D255))</f>
        <v/>
      </c>
      <c r="D255" s="138" t="str">
        <f>IF(ISBLANK('Eid List Entry'!C255),"",('Eid List Entry'!$H$7))</f>
        <v/>
      </c>
      <c r="E255" s="129" t="str">
        <f>IF(ISBLANK('Eid List Entry'!C255),"",('Eid List Entry'!$H$8))</f>
        <v/>
      </c>
      <c r="F255" s="140" t="str">
        <f>IF(ISBLANK('Eid List Entry'!C255),"",TEXT(('Eid List Entry'!$H$3),"MM/DD/YY"))</f>
        <v/>
      </c>
      <c r="G255" s="104" t="str">
        <f>IF(ISBLANK('Eid List Entry'!C255),"",('Eid List Entry'!$H$5))</f>
        <v/>
      </c>
    </row>
    <row r="256" spans="1:7" x14ac:dyDescent="0.25">
      <c r="A256" s="104">
        <f>'Eid List Entry'!B256</f>
        <v>0</v>
      </c>
      <c r="B256" s="104" t="str">
        <f>IF(ISBLANK('Eid List Entry'!C256),"",('Eid List Entry'!C256))</f>
        <v/>
      </c>
      <c r="C256" s="104" t="str">
        <f>IF(ISBLANK('Eid List Entry'!D256),"",('Eid List Entry'!D256))</f>
        <v/>
      </c>
      <c r="D256" s="138" t="str">
        <f>IF(ISBLANK('Eid List Entry'!C256),"",('Eid List Entry'!$H$7))</f>
        <v/>
      </c>
      <c r="E256" s="129" t="str">
        <f>IF(ISBLANK('Eid List Entry'!C256),"",('Eid List Entry'!$H$8))</f>
        <v/>
      </c>
      <c r="F256" s="140" t="str">
        <f>IF(ISBLANK('Eid List Entry'!C256),"",TEXT(('Eid List Entry'!$H$3),"MM/DD/YY"))</f>
        <v/>
      </c>
      <c r="G256" s="104" t="str">
        <f>IF(ISBLANK('Eid List Entry'!C256),"",('Eid List Entry'!$H$5))</f>
        <v/>
      </c>
    </row>
    <row r="257" spans="1:7" x14ac:dyDescent="0.25">
      <c r="A257" s="104">
        <f>'Eid List Entry'!B257</f>
        <v>0</v>
      </c>
      <c r="B257" s="104" t="str">
        <f>IF(ISBLANK('Eid List Entry'!C257),"",('Eid List Entry'!C257))</f>
        <v/>
      </c>
      <c r="C257" s="104" t="str">
        <f>IF(ISBLANK('Eid List Entry'!D257),"",('Eid List Entry'!D257))</f>
        <v/>
      </c>
      <c r="D257" s="138" t="str">
        <f>IF(ISBLANK('Eid List Entry'!C257),"",('Eid List Entry'!$H$7))</f>
        <v/>
      </c>
      <c r="E257" s="129" t="str">
        <f>IF(ISBLANK('Eid List Entry'!C257),"",('Eid List Entry'!$H$8))</f>
        <v/>
      </c>
      <c r="F257" s="140" t="str">
        <f>IF(ISBLANK('Eid List Entry'!C257),"",TEXT(('Eid List Entry'!$H$3),"MM/DD/YY"))</f>
        <v/>
      </c>
      <c r="G257" s="104" t="str">
        <f>IF(ISBLANK('Eid List Entry'!C257),"",('Eid List Entry'!$H$5))</f>
        <v/>
      </c>
    </row>
  </sheetData>
  <sheetProtection selectLockedCells="1"/>
  <conditionalFormatting sqref="C1:C2">
    <cfRule type="containsText" dxfId="5" priority="5" operator="containsText" text="CLOSED">
      <formula>NOT(ISERROR(SEARCH("CLOSED",C1)))</formula>
    </cfRule>
    <cfRule type="containsText" dxfId="4" priority="6" operator="containsText" text="OPEN">
      <formula>NOT(ISERROR(SEARCH("OPEN",C1)))</formula>
    </cfRule>
  </conditionalFormatting>
  <conditionalFormatting sqref="D1:G1">
    <cfRule type="containsText" dxfId="3" priority="3" operator="containsText" text="CLOSED">
      <formula>NOT(ISERROR(SEARCH("CLOSED",D1)))</formula>
    </cfRule>
    <cfRule type="containsText" dxfId="2" priority="4" operator="containsText" text="OPEN">
      <formula>NOT(ISERROR(SEARCH("OPEN",D1)))</formula>
    </cfRule>
  </conditionalFormatting>
  <conditionalFormatting sqref="C1:C1048576">
    <cfRule type="containsText" dxfId="1" priority="1" operator="containsText" text="CLOSED">
      <formula>NOT(ISERROR(SEARCH("CLOSED",C1)))</formula>
    </cfRule>
    <cfRule type="containsText" dxfId="0" priority="2" operator="containsText" text="OPEN">
      <formula>NOT(ISERROR(SEARCH("OPEN",C1)))</formula>
    </cfRule>
  </conditionalFormatting>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31E4748B7E7654B93AEEDA7483807A0" ma:contentTypeVersion="0" ma:contentTypeDescription="Create a new document." ma:contentTypeScope="" ma:versionID="fa52720f7ac4c869d6c5683cd257b694">
  <xsd:schema xmlns:xsd="http://www.w3.org/2001/XMLSchema" xmlns:xs="http://www.w3.org/2001/XMLSchema" xmlns:p="http://schemas.microsoft.com/office/2006/metadata/properties" targetNamespace="http://schemas.microsoft.com/office/2006/metadata/properties" ma:root="true" ma:fieldsID="3ab2f4efcaf0ba312fd9b2809fa662b1">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BB662D8-7168-4D84-8DCD-186B5E3EEB64}">
  <ds:schemaRefs>
    <ds:schemaRef ds:uri="http://schemas.microsoft.com/sharepoint/v3/contenttype/forms"/>
  </ds:schemaRefs>
</ds:datastoreItem>
</file>

<file path=customXml/itemProps2.xml><?xml version="1.0" encoding="utf-8"?>
<ds:datastoreItem xmlns:ds="http://schemas.openxmlformats.org/officeDocument/2006/customXml" ds:itemID="{D5600A24-3EFF-4945-867A-ACC09E45400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4502200D-FB66-425D-96B9-DDC4A214443A}">
  <ds:schemaRef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purl.org/dc/term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11</vt:i4>
      </vt:variant>
    </vt:vector>
  </HeadingPairs>
  <TitlesOfParts>
    <vt:vector size="18" baseType="lpstr">
      <vt:lpstr>Eid List Entry</vt:lpstr>
      <vt:lpstr>Blind List Entry</vt:lpstr>
      <vt:lpstr>EID List</vt:lpstr>
      <vt:lpstr>EID Tags</vt:lpstr>
      <vt:lpstr>Blind List</vt:lpstr>
      <vt:lpstr>Blind Tags</vt:lpstr>
      <vt:lpstr>Merge Data</vt:lpstr>
      <vt:lpstr>BlindList</vt:lpstr>
      <vt:lpstr>'EID List'!Check26</vt:lpstr>
      <vt:lpstr>Data</vt:lpstr>
      <vt:lpstr>Locked</vt:lpstr>
      <vt:lpstr>Lockout_Point</vt:lpstr>
      <vt:lpstr>Position</vt:lpstr>
      <vt:lpstr>'Blind List'!Print_Area</vt:lpstr>
      <vt:lpstr>'Blind Tags'!Print_Area</vt:lpstr>
      <vt:lpstr>'EID List'!Print_Area</vt:lpstr>
      <vt:lpstr>'Eid List Entry'!Print_Area</vt:lpstr>
      <vt:lpstr>'EID Tags'!Print_Area</vt:lpstr>
    </vt:vector>
  </TitlesOfParts>
  <Company>Chevron Phillips Chemical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Hutter, Wesley B</dc:creator>
  <cp:lastModifiedBy>Hans, Adam R</cp:lastModifiedBy>
  <cp:lastPrinted>2021-07-31T00:49:33Z</cp:lastPrinted>
  <dcterms:created xsi:type="dcterms:W3CDTF">2017-02-06T18:42:10Z</dcterms:created>
  <dcterms:modified xsi:type="dcterms:W3CDTF">2022-03-01T09:36:41Z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0x010100431E4748B7E7654B93AEEDA7483807A0</vt:lpwstr>
  </property>
</Properties>
</file>